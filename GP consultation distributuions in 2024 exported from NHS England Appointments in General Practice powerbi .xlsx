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pe16742_bristol_ac_uk/Documents/Publications/Telesafe/safety netting/"/>
    </mc:Choice>
  </mc:AlternateContent>
  <xr:revisionPtr revIDLastSave="242" documentId="8_{F5E5A3D0-5278-489D-87C3-348CE797EF39}" xr6:coauthVersionLast="47" xr6:coauthVersionMax="47" xr10:uidLastSave="{7054BDE5-ADBE-4A61-9F6E-6AFAC07561B8}"/>
  <bookViews>
    <workbookView xWindow="-120" yWindow="-120" windowWidth="29040" windowHeight="15720" activeTab="1" xr2:uid="{1663C219-738A-4AA5-8E07-ABAC861A5F7E}"/>
  </bookViews>
  <sheets>
    <sheet name="pics" sheetId="1" r:id="rId1"/>
    <sheet name="output" sheetId="5" r:id="rId2"/>
    <sheet name="export online spreadshee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5" l="1"/>
  <c r="L2" i="5"/>
  <c r="P9" i="4"/>
  <c r="Q9" i="4" s="1"/>
  <c r="P8" i="4"/>
  <c r="P7" i="4"/>
  <c r="F15" i="5"/>
  <c r="E15" i="5"/>
  <c r="D15" i="5"/>
  <c r="C15" i="5"/>
  <c r="B15" i="5"/>
  <c r="H36" i="4"/>
  <c r="K36" i="4" s="1"/>
  <c r="C36" i="4"/>
  <c r="R13" i="5"/>
  <c r="R12" i="5"/>
  <c r="R11" i="5"/>
  <c r="R10" i="5"/>
  <c r="R9" i="5"/>
  <c r="R8" i="5"/>
  <c r="R7" i="5"/>
  <c r="R6" i="5"/>
  <c r="R5" i="5"/>
  <c r="R4" i="5"/>
  <c r="R3" i="5"/>
  <c r="R2" i="5"/>
  <c r="P13" i="5"/>
  <c r="P12" i="5"/>
  <c r="P11" i="5"/>
  <c r="P10" i="5"/>
  <c r="P9" i="5"/>
  <c r="P8" i="5"/>
  <c r="P7" i="5"/>
  <c r="P6" i="5"/>
  <c r="P5" i="5"/>
  <c r="P4" i="5"/>
  <c r="P3" i="5"/>
  <c r="P2" i="5"/>
  <c r="L10" i="5"/>
  <c r="J12" i="5"/>
  <c r="J8" i="5"/>
  <c r="F14" i="5"/>
  <c r="E14" i="5"/>
  <c r="D14" i="5"/>
  <c r="C14" i="5"/>
  <c r="B14" i="5"/>
  <c r="G13" i="5"/>
  <c r="J13" i="5" s="1"/>
  <c r="G12" i="5"/>
  <c r="L12" i="5" s="1"/>
  <c r="G11" i="5"/>
  <c r="J11" i="5" s="1"/>
  <c r="G10" i="5"/>
  <c r="J10" i="5" s="1"/>
  <c r="G9" i="5"/>
  <c r="J9" i="5" s="1"/>
  <c r="G8" i="5"/>
  <c r="L8" i="5" s="1"/>
  <c r="G7" i="5"/>
  <c r="J7" i="5" s="1"/>
  <c r="G6" i="5"/>
  <c r="J6" i="5" s="1"/>
  <c r="G5" i="5"/>
  <c r="J5" i="5" s="1"/>
  <c r="G4" i="5"/>
  <c r="J4" i="5" s="1"/>
  <c r="G3" i="5"/>
  <c r="J3" i="5" s="1"/>
  <c r="G2" i="5"/>
  <c r="G14" i="5" s="1"/>
  <c r="P13" i="4"/>
  <c r="P20" i="4" s="1"/>
  <c r="P5" i="4"/>
  <c r="N4" i="5" l="1"/>
  <c r="N5" i="5"/>
  <c r="N7" i="5"/>
  <c r="N10" i="5"/>
  <c r="N2" i="5"/>
  <c r="N3" i="5"/>
  <c r="N6" i="5"/>
  <c r="N8" i="5"/>
  <c r="N11" i="5"/>
  <c r="N12" i="5"/>
  <c r="N13" i="5"/>
  <c r="L3" i="5"/>
  <c r="L6" i="5"/>
  <c r="L11" i="5"/>
  <c r="L5" i="5"/>
  <c r="L9" i="5"/>
  <c r="L4" i="5"/>
  <c r="L7" i="5"/>
  <c r="L13" i="5"/>
  <c r="J2" i="5"/>
</calcChain>
</file>

<file path=xl/sharedStrings.xml><?xml version="1.0" encoding="utf-8"?>
<sst xmlns="http://schemas.openxmlformats.org/spreadsheetml/2006/main" count="72" uniqueCount="69">
  <si>
    <t>Oct 204</t>
  </si>
  <si>
    <t>Face-to-Face</t>
  </si>
  <si>
    <t>Telephone</t>
  </si>
  <si>
    <t>Video/Online</t>
  </si>
  <si>
    <t>Home Visit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</si>
  <si>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</si>
  <si>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</si>
  <si>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</si>
  <si>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</si>
  <si>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</si>
  <si>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</si>
  <si>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</si>
  <si>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</si>
  <si>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</si>
  <si>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</si>
  <si>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</si>
  <si>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</si>
  <si>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</si>
  <si>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Total %</t>
  </si>
  <si>
    <t>Month (all 2024)</t>
  </si>
  <si>
    <t>https://app.powerbi.com/view?r=eyJrIjoiODg3N2JiZGUtMDQxMC00ZDkyLThlYTEtNGZjZmU0YjAzMmFiIiwidCI6IjM3YzM1NGIyLTg1YjAtNDdmNS1iMjIyLTA3YjQ4ZDc3NGVlMyJ9</t>
  </si>
  <si>
    <t>Dec-24 [12]</t>
  </si>
  <si>
    <t>Nov-24 [12]</t>
  </si>
  <si>
    <t>Oct-24 [12]</t>
  </si>
  <si>
    <t>Sep-24 [12]</t>
  </si>
  <si>
    <t>Aug-24 [12]</t>
  </si>
  <si>
    <t>Jul-24 [12]</t>
  </si>
  <si>
    <t>Jun-24 [12]</t>
  </si>
  <si>
    <t>May-24 [12]</t>
  </si>
  <si>
    <t>Apr-24 [12]</t>
  </si>
  <si>
    <t>Mar-24 [12]</t>
  </si>
  <si>
    <t>Feb-24 [12]</t>
  </si>
  <si>
    <t>GP</t>
  </si>
  <si>
    <t>Appointment Mode [5]</t>
  </si>
  <si>
    <t>Unknown Mode [6]</t>
  </si>
  <si>
    <t>SDS Role Group [12]</t>
  </si>
  <si>
    <t>Nurses</t>
  </si>
  <si>
    <t>Other Direct Patient Care</t>
  </si>
  <si>
    <t>Data Quality</t>
  </si>
  <si>
    <t>Unknown SDS Role Group</t>
  </si>
  <si>
    <t>Appointment Count</t>
  </si>
  <si>
    <t>Total count of appointments [1]</t>
  </si>
  <si>
    <t xml:space="preserve">GP ONLY DATA EXTRACTED 11th AUGUST 2025 </t>
  </si>
  <si>
    <t>Face-to-Face Total</t>
  </si>
  <si>
    <t>Telephone %</t>
  </si>
  <si>
    <t>Telephone Total</t>
  </si>
  <si>
    <t>Video/Online %</t>
  </si>
  <si>
    <t>Video/Online Total</t>
  </si>
  <si>
    <t>Home Visit %</t>
  </si>
  <si>
    <t>Home Visit Total</t>
  </si>
  <si>
    <t>Unknown %</t>
  </si>
  <si>
    <t>Unknown Total</t>
  </si>
  <si>
    <t>Total all</t>
  </si>
  <si>
    <t>Face-to-Face % calc</t>
  </si>
  <si>
    <t>Face-to-Face % export</t>
  </si>
  <si>
    <t>https://files.digital.nhs.uk/75/43199F/GP_Appointment_Publication_Summary_December_2024.xlsx</t>
  </si>
  <si>
    <t>Month</t>
  </si>
  <si>
    <t>Practice Coverage</t>
  </si>
  <si>
    <t>Number of ALL Appointments</t>
  </si>
  <si>
    <t>Number of GP Appointments</t>
  </si>
  <si>
    <t>%GP apts</t>
  </si>
  <si>
    <t>Data below from https://digital.nhs.uk/data-and-information/publications/statistical/appointments-in-general-practice/december-2024</t>
  </si>
  <si>
    <t>Note this is all primary care appointments not just GPs</t>
  </si>
  <si>
    <t>slightly different to above</t>
  </si>
  <si>
    <t>Data below from https://app.powerbi.com/view?r=eyJrIjoiODg3N2JiZGUtMDQxMC00ZDkyLThlYTEtNGZjZmU0YjAzMmFiIiwidCI6IjM3YzM1NGIyLTg1YjAtNDdmNS1iMjIyLTA3YjQ4ZDc3NGVlMyJ9</t>
  </si>
  <si>
    <t>note slightly different to above</t>
  </si>
  <si>
    <t>HV % per month</t>
  </si>
  <si>
    <t>Video % per month</t>
  </si>
  <si>
    <t>Telephone %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</si>
</sst>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0.0%"/>
  </numFmts>
  <fonts count="3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rial"/>
      <family val="2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rgb="FFFF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0"/>
      <color indexed="30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u/>
      <sz val="12"/>
      <color rgb="FF004488"/>
      <name val="Arial"/>
      <family val="2"/>
    </font>
    <font>
      <sz val="12"/>
      <color indexed="8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FF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31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2" fillId="0" borderId="0"/>
    <xf numFmtId="43" fontId="13" fillId="0" borderId="0"/>
    <xf numFmtId="43" fontId="13" fillId="0" borderId="0"/>
    <xf numFmtId="0" fontId="15" fillId="0" borderId="0"/>
    <xf numFmtId="0" fontId="13" fillId="0" borderId="0"/>
    <xf numFmtId="0" fontId="8" fillId="0" borderId="0"/>
    <xf numFmtId="0" fontId="8" fillId="0" borderId="0"/>
    <xf numFmtId="0" fontId="13" fillId="0" borderId="0"/>
    <xf numFmtId="9" fontId="13" fillId="0" borderId="0"/>
    <xf numFmtId="9" fontId="8" fillId="0" borderId="0"/>
    <xf numFmtId="9" fontId="3" fillId="0" borderId="0"/>
    <xf numFmtId="9" fontId="8" fillId="0" borderId="0"/>
    <xf numFmtId="9" fontId="13" fillId="0" borderId="0"/>
    <xf numFmtId="9" fontId="16" fillId="0" borderId="0"/>
    <xf numFmtId="0" fontId="14" fillId="0" borderId="0">
      <alignment vertical="top"/>
      <protection locked="0"/>
    </xf>
    <xf numFmtId="0" fontId="17" fillId="0" borderId="0"/>
    <xf numFmtId="0" fontId="18" fillId="8" borderId="10"/>
    <xf numFmtId="0" fontId="18" fillId="33" borderId="12"/>
    <xf numFmtId="43" fontId="3" fillId="0" borderId="0"/>
    <xf numFmtId="0" fontId="2" fillId="0" borderId="0"/>
    <xf numFmtId="0" fontId="13" fillId="0" borderId="0"/>
    <xf numFmtId="0" fontId="8" fillId="0" borderId="0"/>
    <xf numFmtId="0" fontId="19" fillId="0" borderId="3"/>
    <xf numFmtId="0" fontId="20" fillId="0" borderId="4"/>
    <xf numFmtId="0" fontId="21" fillId="0" borderId="5"/>
    <xf numFmtId="0" fontId="21" fillId="0" borderId="0"/>
    <xf numFmtId="0" fontId="22" fillId="2" borderId="0"/>
    <xf numFmtId="0" fontId="23" fillId="3" borderId="0"/>
    <xf numFmtId="0" fontId="24" fillId="4" borderId="0"/>
    <xf numFmtId="0" fontId="25" fillId="5" borderId="6"/>
    <xf numFmtId="0" fontId="26" fillId="6" borderId="7"/>
    <xf numFmtId="0" fontId="27" fillId="6" borderId="6"/>
    <xf numFmtId="0" fontId="28" fillId="0" borderId="8"/>
    <xf numFmtId="0" fontId="29" fillId="7" borderId="9"/>
    <xf numFmtId="0" fontId="30" fillId="0" borderId="0"/>
    <xf numFmtId="0" fontId="31" fillId="0" borderId="0"/>
    <xf numFmtId="0" fontId="32" fillId="0" borderId="11"/>
    <xf numFmtId="0" fontId="33" fillId="9" borderId="0"/>
    <xf numFmtId="0" fontId="8" fillId="10" borderId="0"/>
    <xf numFmtId="0" fontId="8" fillId="11" borderId="0"/>
    <xf numFmtId="0" fontId="33" fillId="12" borderId="0"/>
    <xf numFmtId="0" fontId="33" fillId="13" borderId="0"/>
    <xf numFmtId="0" fontId="8" fillId="14" borderId="0"/>
    <xf numFmtId="0" fontId="8" fillId="15" borderId="0"/>
    <xf numFmtId="0" fontId="33" fillId="16" borderId="0"/>
    <xf numFmtId="0" fontId="33" fillId="17" borderId="0"/>
    <xf numFmtId="0" fontId="8" fillId="18" borderId="0"/>
    <xf numFmtId="0" fontId="8" fillId="19" borderId="0"/>
    <xf numFmtId="0" fontId="33" fillId="20" borderId="0"/>
    <xf numFmtId="0" fontId="33" fillId="21" borderId="0"/>
    <xf numFmtId="0" fontId="8" fillId="22" borderId="0"/>
    <xf numFmtId="0" fontId="8" fillId="23" borderId="0"/>
    <xf numFmtId="0" fontId="33" fillId="24" borderId="0"/>
    <xf numFmtId="0" fontId="33" fillId="25" borderId="0"/>
    <xf numFmtId="0" fontId="8" fillId="26" borderId="0"/>
    <xf numFmtId="0" fontId="8" fillId="27" borderId="0"/>
    <xf numFmtId="0" fontId="33" fillId="28" borderId="0"/>
    <xf numFmtId="0" fontId="33" fillId="29" borderId="0"/>
    <xf numFmtId="0" fontId="8" fillId="30" borderId="0"/>
    <xf numFmtId="0" fontId="8" fillId="31" borderId="0"/>
    <xf numFmtId="0" fontId="33" fillId="32" borderId="0"/>
    <xf numFmtId="0" fontId="8" fillId="0" borderId="0"/>
    <xf numFmtId="0" fontId="8" fillId="8" borderId="10"/>
    <xf numFmtId="0" fontId="11" fillId="0" borderId="0"/>
    <xf numFmtId="0" fontId="3" fillId="0" borderId="0"/>
    <xf numFmtId="0" fontId="13" fillId="0" borderId="0"/>
    <xf numFmtId="43" fontId="13" fillId="0" borderId="0"/>
    <xf numFmtId="43" fontId="13" fillId="0" borderId="0"/>
    <xf numFmtId="0" fontId="8" fillId="0" borderId="0"/>
    <xf numFmtId="0" fontId="8" fillId="0" borderId="0"/>
    <xf numFmtId="9" fontId="8" fillId="0" borderId="0"/>
    <xf numFmtId="9" fontId="8" fillId="0" borderId="0"/>
    <xf numFmtId="43" fontId="3" fillId="0" borderId="0"/>
    <xf numFmtId="0" fontId="8" fillId="0" borderId="0"/>
    <xf numFmtId="0" fontId="8" fillId="10" borderId="0"/>
    <xf numFmtId="0" fontId="8" fillId="11" borderId="0"/>
    <xf numFmtId="0" fontId="8" fillId="14" borderId="0"/>
    <xf numFmtId="0" fontId="8" fillId="15" borderId="0"/>
    <xf numFmtId="0" fontId="8" fillId="18" borderId="0"/>
    <xf numFmtId="0" fontId="8" fillId="19" borderId="0"/>
    <xf numFmtId="0" fontId="8" fillId="22" borderId="0"/>
    <xf numFmtId="0" fontId="8" fillId="23" borderId="0"/>
    <xf numFmtId="0" fontId="8" fillId="26" borderId="0"/>
    <xf numFmtId="0" fontId="8" fillId="27" borderId="0"/>
    <xf numFmtId="0" fontId="8" fillId="30" borderId="0"/>
    <xf numFmtId="0" fontId="8" fillId="31" borderId="0"/>
    <xf numFmtId="0" fontId="8" fillId="0" borderId="0"/>
    <xf numFmtId="0" fontId="8" fillId="8" borderId="10"/>
    <xf numFmtId="0" fontId="11" fillId="0" borderId="0"/>
    <xf numFmtId="9" fontId="3" fillId="0" borderId="0"/>
    <xf numFmtId="43" fontId="3" fillId="0" borderId="0"/>
    <xf numFmtId="43" fontId="13" fillId="0" borderId="0"/>
    <xf numFmtId="43" fontId="13" fillId="0" borderId="0"/>
    <xf numFmtId="43" fontId="3" fillId="0" borderId="0"/>
    <xf numFmtId="0" fontId="11" fillId="0" borderId="0"/>
    <xf numFmtId="43" fontId="13" fillId="0" borderId="0"/>
    <xf numFmtId="43" fontId="13" fillId="0" borderId="0"/>
    <xf numFmtId="43" fontId="3" fillId="0" borderId="0"/>
    <xf numFmtId="0" fontId="11" fillId="0" borderId="0"/>
    <xf numFmtId="43" fontId="13" fillId="0" borderId="0"/>
    <xf numFmtId="43" fontId="13" fillId="0" borderId="0"/>
    <xf numFmtId="43" fontId="3" fillId="0" borderId="0"/>
    <xf numFmtId="0" fontId="11" fillId="0" borderId="0"/>
    <xf numFmtId="43" fontId="13" fillId="0" borderId="0"/>
    <xf numFmtId="43" fontId="13" fillId="0" borderId="0"/>
    <xf numFmtId="43" fontId="3" fillId="0" borderId="0"/>
    <xf numFmtId="0" fontId="11" fillId="0" borderId="0"/>
    <xf numFmtId="43" fontId="13" fillId="0" borderId="0"/>
    <xf numFmtId="43" fontId="13" fillId="0" borderId="0"/>
    <xf numFmtId="43" fontId="3" fillId="0" borderId="0"/>
    <xf numFmtId="0" fontId="11" fillId="0" borderId="0"/>
    <xf numFmtId="43" fontId="13" fillId="0" borderId="0"/>
    <xf numFmtId="43" fontId="13" fillId="0" borderId="0"/>
    <xf numFmtId="43" fontId="3" fillId="0" borderId="0"/>
    <xf numFmtId="0" fontId="11" fillId="0" borderId="0"/>
    <xf numFmtId="43" fontId="3" fillId="0" borderId="0"/>
    <xf numFmtId="43" fontId="3" fillId="0" borderId="0"/>
    <xf numFmtId="43" fontId="13" fillId="0" borderId="0"/>
    <xf numFmtId="43" fontId="13" fillId="0" borderId="0"/>
    <xf numFmtId="43" fontId="3" fillId="0" borderId="0"/>
    <xf numFmtId="0" fontId="11" fillId="0" borderId="0"/>
    <xf numFmtId="43" fontId="13" fillId="0" borderId="0"/>
    <xf numFmtId="43" fontId="13" fillId="0" borderId="0"/>
    <xf numFmtId="43" fontId="3" fillId="0" borderId="0"/>
    <xf numFmtId="0" fontId="11" fillId="0" borderId="0"/>
    <xf numFmtId="43" fontId="3" fillId="0" borderId="0"/>
    <xf numFmtId="43" fontId="3" fillId="0" borderId="0"/>
  </cellStyleXfs>
  <cellXfs count="42">
    <xf numFmtId="0" fontId="0" fillId="0" borderId="0" xfId="0"/>
    <xf numFmtId="0" fontId="1" fillId="0" borderId="0" xfId="0" applyFont="1"/>
    <xf numFmtId="17" fontId="0" fillId="0" borderId="0" xfId="0" applyNumberFormat="1"/>
    <xf numFmtId="10" fontId="0" fillId="0" borderId="0" xfId="0" applyNumberFormat="1"/>
    <xf numFmtId="0" fontId="2" fillId="0" borderId="0" xfId="1"/>
    <xf numFmtId="3" fontId="0" fillId="0" borderId="0" xfId="0" applyNumberFormat="1"/>
    <xf numFmtId="3" fontId="0" fillId="0" borderId="1" xfId="0" applyNumberFormat="1" applyBorder="1" applyAlignment="1">
      <alignment horizontal="right"/>
    </xf>
    <xf numFmtId="17" fontId="6" fillId="0" borderId="0" xfId="0" applyNumberFormat="1" applyFont="1" applyAlignment="1">
      <alignment horizontal="right"/>
    </xf>
    <xf numFmtId="3" fontId="7" fillId="0" borderId="0" xfId="0" applyNumberFormat="1" applyFont="1" applyAlignment="1">
      <alignment vertical="top" wrapText="1"/>
    </xf>
    <xf numFmtId="3" fontId="7" fillId="0" borderId="1" xfId="0" applyNumberFormat="1" applyFont="1" applyBorder="1"/>
    <xf numFmtId="3" fontId="8" fillId="0" borderId="0" xfId="2" applyNumberFormat="1" applyFont="1" applyAlignment="1">
      <alignment vertical="center"/>
    </xf>
    <xf numFmtId="3" fontId="9" fillId="0" borderId="0" xfId="2" applyNumberFormat="1" applyFont="1" applyAlignment="1">
      <alignment vertical="center"/>
    </xf>
    <xf numFmtId="3" fontId="9" fillId="0" borderId="0" xfId="3" applyNumberFormat="1" applyFont="1" applyAlignment="1">
      <alignment vertical="center"/>
    </xf>
    <xf numFmtId="3" fontId="7" fillId="0" borderId="0" xfId="0" applyNumberFormat="1" applyFont="1"/>
    <xf numFmtId="3" fontId="0" fillId="0" borderId="0" xfId="0" applyNumberFormat="1" applyAlignment="1">
      <alignment horizontal="right"/>
    </xf>
    <xf numFmtId="3" fontId="9" fillId="0" borderId="0" xfId="3" applyNumberFormat="1" applyFont="1" applyAlignment="1">
      <alignment vertical="top" wrapText="1"/>
    </xf>
    <xf numFmtId="3" fontId="5" fillId="0" borderId="0" xfId="0" applyNumberFormat="1" applyFont="1"/>
    <xf numFmtId="0" fontId="4" fillId="0" borderId="0" xfId="0" applyFont="1" applyAlignment="1">
      <alignment vertical="center" wrapText="1"/>
    </xf>
    <xf numFmtId="0" fontId="5" fillId="0" borderId="0" xfId="0" applyFont="1"/>
    <xf numFmtId="0" fontId="10" fillId="0" borderId="0" xfId="0" applyFont="1" applyAlignment="1">
      <alignment horizontal="right"/>
    </xf>
    <xf numFmtId="17" fontId="9" fillId="0" borderId="0" xfId="3" applyNumberFormat="1" applyFont="1" applyAlignment="1">
      <alignment vertical="center"/>
    </xf>
    <xf numFmtId="0" fontId="9" fillId="0" borderId="0" xfId="3" applyFont="1" applyAlignment="1">
      <alignment vertical="center"/>
    </xf>
    <xf numFmtId="3" fontId="7" fillId="0" borderId="1" xfId="3" applyNumberFormat="1" applyFont="1" applyBorder="1" applyAlignment="1">
      <alignment vertical="top" wrapText="1"/>
    </xf>
    <xf numFmtId="3" fontId="7" fillId="0" borderId="1" xfId="3" applyNumberFormat="1" applyFont="1" applyBorder="1"/>
    <xf numFmtId="3" fontId="7" fillId="0" borderId="0" xfId="3" applyNumberFormat="1" applyFont="1" applyAlignment="1">
      <alignment vertical="top" wrapText="1"/>
    </xf>
    <xf numFmtId="3" fontId="7" fillId="0" borderId="0" xfId="3" applyNumberFormat="1" applyFont="1"/>
    <xf numFmtId="3" fontId="7" fillId="0" borderId="2" xfId="3" applyNumberFormat="1" applyFont="1" applyBorder="1" applyAlignment="1">
      <alignment vertical="top" wrapText="1"/>
    </xf>
    <xf numFmtId="3" fontId="7" fillId="0" borderId="1" xfId="0" applyNumberFormat="1" applyFont="1" applyBorder="1" applyAlignment="1">
      <alignment vertical="top" wrapText="1"/>
    </xf>
    <xf numFmtId="10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0" fontId="1" fillId="0" borderId="0" xfId="0" applyFont="1" applyAlignment="1">
      <alignment vertical="center" wrapText="1"/>
    </xf>
    <xf numFmtId="3" fontId="1" fillId="0" borderId="0" xfId="0" applyNumberFormat="1" applyFont="1"/>
    <xf numFmtId="3" fontId="2" fillId="0" borderId="0" xfId="1" applyNumberFormat="1" applyAlignment="1">
      <alignment vertical="center"/>
    </xf>
    <xf numFmtId="17" fontId="0" fillId="0" borderId="0" xfId="0" applyNumberFormat="1" applyAlignment="1">
      <alignment vertical="center" wrapText="1"/>
    </xf>
    <xf numFmtId="10" fontId="6" fillId="0" borderId="0" xfId="0" applyNumberFormat="1" applyFont="1" applyAlignment="1">
      <alignment horizontal="right"/>
    </xf>
    <xf numFmtId="17" fontId="34" fillId="0" borderId="0" xfId="0" applyNumberFormat="1" applyFont="1" applyAlignment="1">
      <alignment horizontal="left"/>
    </xf>
    <xf numFmtId="10" fontId="35" fillId="0" borderId="0" xfId="0" applyNumberFormat="1" applyFont="1"/>
  </cellXfs>
  <cellStyles count="131">
    <cellStyle name="20% - Accent1 2" xfId="42" xr:uid="{48CA785B-EDF8-48FB-95AB-391BD746AC67}"/>
    <cellStyle name="20% - Accent1 2 2" xfId="78" xr:uid="{AC200069-361D-494F-A8C9-4C305B881BE3}"/>
    <cellStyle name="20% - Accent2 2" xfId="46" xr:uid="{787D8FED-7BE5-43D7-9D89-9CE758318137}"/>
    <cellStyle name="20% - Accent2 2 2" xfId="80" xr:uid="{A19015F3-25C3-4FBF-BB21-037EECAC8CA8}"/>
    <cellStyle name="20% - Accent3 2" xfId="50" xr:uid="{72A260AA-1289-4A8A-9AAE-3C37DA77C175}"/>
    <cellStyle name="20% - Accent3 2 2" xfId="82" xr:uid="{426A5AFE-883E-4667-849A-98B74C0423E2}"/>
    <cellStyle name="20% - Accent4 2" xfId="54" xr:uid="{E4DB74EE-C46B-49A6-BDF2-963D3654D02F}"/>
    <cellStyle name="20% - Accent4 2 2" xfId="84" xr:uid="{EEE215CD-61EA-40E8-9E26-9605BDDF02B6}"/>
    <cellStyle name="20% - Accent5 2" xfId="58" xr:uid="{923036BE-E996-41D7-BF83-305A4CAE9E80}"/>
    <cellStyle name="20% - Accent5 2 2" xfId="86" xr:uid="{791F36E4-FA7B-4D97-8BD0-DA02B086FCF3}"/>
    <cellStyle name="20% - Accent6 2" xfId="62" xr:uid="{8F776E8F-DB87-4108-9B0B-7C51583F49F0}"/>
    <cellStyle name="20% - Accent6 2 2" xfId="88" xr:uid="{D7632DDB-06D5-49B8-9EF6-C51629971016}"/>
    <cellStyle name="40% - Accent1 2" xfId="43" xr:uid="{079FCD78-9371-442A-99CA-9A0869BFBCC5}"/>
    <cellStyle name="40% - Accent1 2 2" xfId="79" xr:uid="{A195FC02-B592-43B5-B894-96A49A74E6BB}"/>
    <cellStyle name="40% - Accent2 2" xfId="47" xr:uid="{C7DCFE78-62A3-41B1-8696-5BDB5E39C8D9}"/>
    <cellStyle name="40% - Accent2 2 2" xfId="81" xr:uid="{4BFDA4B7-F73F-4B7C-81EB-7B4A64BE11D3}"/>
    <cellStyle name="40% - Accent3 2" xfId="51" xr:uid="{2031A58B-A2FF-4DA4-88BC-4BACBD6D887F}"/>
    <cellStyle name="40% - Accent3 2 2" xfId="83" xr:uid="{619531DA-DACC-4D07-8123-398E76C320C1}"/>
    <cellStyle name="40% - Accent4 2" xfId="55" xr:uid="{7155E5F0-4AA3-49A7-AC84-A5BAA5042504}"/>
    <cellStyle name="40% - Accent4 2 2" xfId="85" xr:uid="{389F09F7-15A0-4E06-A264-2CA2B507C950}"/>
    <cellStyle name="40% - Accent5 2" xfId="59" xr:uid="{765303C9-CB00-439C-AA1C-527540B8A35D}"/>
    <cellStyle name="40% - Accent5 2 2" xfId="87" xr:uid="{D3C36855-F995-451B-B8E7-040500B033C5}"/>
    <cellStyle name="40% - Accent6 2" xfId="63" xr:uid="{FEDE88D7-10B6-4538-ADEB-460AF5844136}"/>
    <cellStyle name="40% - Accent6 2 2" xfId="89" xr:uid="{3A7DA8CE-2964-4117-BE5B-325AD2AC1B8F}"/>
    <cellStyle name="60% - Accent1 2" xfId="44" xr:uid="{9FB49A6E-DE88-4365-B339-774A2B06E053}"/>
    <cellStyle name="60% - Accent2 2" xfId="48" xr:uid="{CC4CDCE2-7784-4037-8D92-453149561594}"/>
    <cellStyle name="60% - Accent3 2" xfId="52" xr:uid="{F367DD79-ED49-463A-88D5-6CB5B70A1FE2}"/>
    <cellStyle name="60% - Accent4 2" xfId="56" xr:uid="{37556360-C240-44F7-A515-67177A280CCB}"/>
    <cellStyle name="60% - Accent5 2" xfId="60" xr:uid="{F5B8D658-A3A1-4399-ABB7-382E87D4A104}"/>
    <cellStyle name="60% - Accent6 2" xfId="64" xr:uid="{08298F44-81F2-4678-857E-6CE4F6D37783}"/>
    <cellStyle name="Accent1 2" xfId="41" xr:uid="{6966B228-1ABF-42D0-822E-140F3D106F7F}"/>
    <cellStyle name="Accent2 2" xfId="45" xr:uid="{DEAAFB2B-C165-4F9A-8409-6CDF8C50B2FC}"/>
    <cellStyle name="Accent3 2" xfId="49" xr:uid="{857DFDB7-5AC6-4D71-90B2-C277D7C342AC}"/>
    <cellStyle name="Accent4 2" xfId="53" xr:uid="{F342C075-88A4-4BF5-8B8F-BDDC137EA5E7}"/>
    <cellStyle name="Accent5 2" xfId="57" xr:uid="{E6107E76-AEC8-4622-A20A-E650DFA5F994}"/>
    <cellStyle name="Accent6 2" xfId="61" xr:uid="{F680F83D-8AD3-4247-A218-C75C267807B6}"/>
    <cellStyle name="Bad 2" xfId="31" xr:uid="{9499B141-C710-4BE8-BE17-8FDEC2B33C4F}"/>
    <cellStyle name="Calculation 2" xfId="35" xr:uid="{76680536-28CA-4DD5-B6A7-E197765D7C89}"/>
    <cellStyle name="Check Cell 2" xfId="37" xr:uid="{C4532B0B-D710-4BE3-9F98-40DBEE7C4B64}"/>
    <cellStyle name="Comma" xfId="2" builtinId="3"/>
    <cellStyle name="Comma 10" xfId="22" xr:uid="{C60A9B4F-9BBC-44F0-AB73-28F87C1F81E8}"/>
    <cellStyle name="Comma 2" xfId="5" xr:uid="{DC955BC6-13C4-4034-8B63-AB00C716A988}"/>
    <cellStyle name="Comma 2 2" xfId="70" xr:uid="{57CFDB3B-A69C-466E-970D-CA253E16923A}"/>
    <cellStyle name="Comma 2 2 2" xfId="115" xr:uid="{B9EA096E-4ECE-4A71-95C5-E2FF5978EF1D}"/>
    <cellStyle name="Comma 2 2 3" xfId="125" xr:uid="{76ECB99D-7F19-47D7-B4D1-B6655051CED6}"/>
    <cellStyle name="Comma 2 2 4" xfId="107" xr:uid="{94E26A2C-4417-4D8A-BB0F-1A8BB98E156C}"/>
    <cellStyle name="Comma 2 2 5" xfId="99" xr:uid="{3DE1439B-8512-4D59-8053-55D2C319B2BD}"/>
    <cellStyle name="Comma 2 3" xfId="111" xr:uid="{1D566383-7369-48A8-86CC-1EA07589B0CA}"/>
    <cellStyle name="Comma 2 4" xfId="121" xr:uid="{F43C2DEA-CB01-4BBA-8684-55BD59D60B6D}"/>
    <cellStyle name="Comma 2 5" xfId="103" xr:uid="{1585456D-3F51-49FE-8A31-F29AF5CF8D42}"/>
    <cellStyle name="Comma 2 6" xfId="95" xr:uid="{22D53524-53A4-4BE4-9416-A5CB81234EC7}"/>
    <cellStyle name="Comma 3" xfId="6" xr:uid="{805F6C93-D1CA-4F4C-A9C0-25CF73FCAB0A}"/>
    <cellStyle name="Comma 3 2" xfId="71" xr:uid="{F65FF577-DC82-458A-A94F-A24D868AE25D}"/>
    <cellStyle name="Comma 3 2 2" xfId="116" xr:uid="{9541C10B-F98F-4413-B860-4C6A77DC4862}"/>
    <cellStyle name="Comma 3 2 3" xfId="126" xr:uid="{9DCFBFC8-41FA-474A-A347-4E75C4B46043}"/>
    <cellStyle name="Comma 3 2 4" xfId="108" xr:uid="{FDC2D6DA-9F0E-4621-A176-60E89E28EB8F}"/>
    <cellStyle name="Comma 3 2 5" xfId="100" xr:uid="{ED5FACCA-E948-4297-AD4B-0FF109114AA4}"/>
    <cellStyle name="Comma 3 3" xfId="112" xr:uid="{3ED53121-BE74-4F66-9B0A-E9F85512E044}"/>
    <cellStyle name="Comma 3 4" xfId="122" xr:uid="{327F1D78-A8DD-4D79-9E6D-DCE45FB5B05F}"/>
    <cellStyle name="Comma 3 5" xfId="104" xr:uid="{F7AA45D6-6229-4BB1-BBD9-44A31FEC2AF2}"/>
    <cellStyle name="Comma 3 6" xfId="96" xr:uid="{320BE492-D085-454B-A69F-8347210532B5}"/>
    <cellStyle name="Comma 4" xfId="76" xr:uid="{A47427CE-EF73-45D3-90A2-AC2D4303F3E3}"/>
    <cellStyle name="Comma 4 2" xfId="119" xr:uid="{D4EBC0F2-D4B5-4784-BBAC-865191757D16}"/>
    <cellStyle name="Comma 4 2 2" xfId="129" xr:uid="{4652B728-75B5-4A1C-B0E8-584D2ED6B3CD}"/>
    <cellStyle name="Comma 4 3" xfId="117" xr:uid="{E6FEBC2D-388C-4BC9-A08C-7A1E6A28F10F}"/>
    <cellStyle name="Comma 4 4" xfId="127" xr:uid="{1CD3804A-4AF1-462D-9683-975953C4D679}"/>
    <cellStyle name="Comma 4 5" xfId="109" xr:uid="{8C11C131-BB9F-43EA-8166-FEDB5870592C}"/>
    <cellStyle name="Comma 4 6" xfId="101" xr:uid="{417F0D52-065A-4F96-B430-70BC23FC983A}"/>
    <cellStyle name="Comma 5" xfId="94" xr:uid="{31F7331F-72EB-40A7-945F-6DA9AB827EA5}"/>
    <cellStyle name="Comma 5 2" xfId="130" xr:uid="{52089545-5611-4247-AF76-2B44E6301CF3}"/>
    <cellStyle name="Comma 5 3" xfId="120" xr:uid="{4DAA7513-1B73-40BB-8C95-4E2729EE669F}"/>
    <cellStyle name="Comma 6" xfId="113" xr:uid="{678BEED8-C358-49C5-9D9A-6B0D30757EA0}"/>
    <cellStyle name="Comma 7" xfId="123" xr:uid="{A945DDA0-22F8-445E-AE78-F7F59C1A3A82}"/>
    <cellStyle name="Comma 8" xfId="105" xr:uid="{1A9DF5AB-386E-45FE-9B08-DDA3DEE2F46A}"/>
    <cellStyle name="Comma 9" xfId="97" xr:uid="{025FCB90-6A96-4CFD-8F6D-3089168D551D}"/>
    <cellStyle name="Explanatory Text 2" xfId="39" xr:uid="{7CF0C78A-9C35-4E6B-B75F-0F863682E244}"/>
    <cellStyle name="ExportHeaderStyle" xfId="24" xr:uid="{0FDF2189-C113-4AF8-BA80-8ABA8D998FBA}"/>
    <cellStyle name="Followed Hyperlink 2" xfId="19" xr:uid="{E9562793-4671-4AF8-B545-FC456580DA36}"/>
    <cellStyle name="Good 2" xfId="30" xr:uid="{43F693A6-FD47-42FA-8ABC-6EF81D4F9DF4}"/>
    <cellStyle name="Heading 1 2" xfId="26" xr:uid="{0B8E72D0-7B7D-44B8-B186-6A8ABB8F5DCC}"/>
    <cellStyle name="Heading 2 2" xfId="27" xr:uid="{C47968AB-4F29-4FA5-B1D0-EE0BD768ECD5}"/>
    <cellStyle name="Heading 3 2" xfId="28" xr:uid="{D2FB9531-C688-401A-A121-BE8FF0E35B25}"/>
    <cellStyle name="Heading 4 2" xfId="29" xr:uid="{78E71D7D-D6DD-4FF6-881F-1529B49D1553}"/>
    <cellStyle name="Hyperlink" xfId="1" builtinId="8"/>
    <cellStyle name="Hyperlink 2" xfId="7" xr:uid="{DE28BFF2-340E-46F0-B7B7-9EDADF3EC786}"/>
    <cellStyle name="Hyperlink 3" xfId="18" xr:uid="{E08ED7CA-6704-49F6-98D3-8D5310113639}"/>
    <cellStyle name="Hyperlink 4" xfId="23" xr:uid="{5FEE7428-A1D4-4326-A36B-67262C7C7088}"/>
    <cellStyle name="Hyperlink 5" xfId="4" xr:uid="{CD5B4C78-1C94-4881-893B-16DFCEE41609}"/>
    <cellStyle name="Input 2" xfId="33" xr:uid="{0E06EF60-E6E8-4AE3-83EC-8D44CF27C0EF}"/>
    <cellStyle name="Linked Cell 2" xfId="36" xr:uid="{C45A1CF7-B113-42D6-B5E1-7DB0566DB5E3}"/>
    <cellStyle name="Neutral 2" xfId="32" xr:uid="{4BCE18AE-AE2A-42A2-B769-DEB4C90299DA}"/>
    <cellStyle name="Normal" xfId="0" builtinId="0"/>
    <cellStyle name="Normal 2" xfId="3" xr:uid="{62B0D8EF-6E04-442B-A1E1-78B2994A491B}"/>
    <cellStyle name="Normal 2 2" xfId="8" xr:uid="{2BC2E420-4517-428C-BA72-FD21EC142A2C}"/>
    <cellStyle name="Normal 2 2 2" xfId="69" xr:uid="{21FB7E53-F8C9-45A0-BA24-E24A21E44401}"/>
    <cellStyle name="Normal 2 3" xfId="65" xr:uid="{D4255020-45A9-4F49-84B0-088EF9C2603F}"/>
    <cellStyle name="Normal 2 3 2" xfId="90" xr:uid="{1074BEBD-B787-46C5-BA09-AE7010CA0E04}"/>
    <cellStyle name="Normal 3" xfId="9" xr:uid="{84F513DE-4438-4734-9FFB-A3DAED0011BD}"/>
    <cellStyle name="Normal 3 2" xfId="10" xr:uid="{AA999930-CF37-4698-A733-3FB51B1717A5}"/>
    <cellStyle name="Normal 3 2 2" xfId="73" xr:uid="{BCCEDDBF-F93F-45C4-A1E6-AEE9BBA713B0}"/>
    <cellStyle name="Normal 3 3" xfId="72" xr:uid="{2F968B95-BE47-4A34-968B-E4202CE642CE}"/>
    <cellStyle name="Normal 4" xfId="11" xr:uid="{5948944F-F6B0-42A0-9022-8F3341A7A78D}"/>
    <cellStyle name="Normal 4 2" xfId="25" xr:uid="{DCF307D3-B72A-4A66-BD14-CB7840A60252}"/>
    <cellStyle name="Normal 4 2 2" xfId="77" xr:uid="{7ACD0F7F-B776-47B5-A262-9381D0B4BD39}"/>
    <cellStyle name="Normal 5" xfId="67" xr:uid="{CD1C1F35-D152-410B-85F8-F55842537B28}"/>
    <cellStyle name="Normal 5 2" xfId="92" xr:uid="{65FE8A6B-A8AB-47B4-A81B-5C37C6EF6639}"/>
    <cellStyle name="Normal 5 2 2" xfId="118" xr:uid="{7C41F7A6-84F1-485E-A156-E07E29EB2970}"/>
    <cellStyle name="Normal 5 2 3" xfId="128" xr:uid="{45BACD38-1340-494F-AA48-B1EA6BA160BD}"/>
    <cellStyle name="Normal 5 2 4" xfId="110" xr:uid="{93AD0E21-C515-4BAD-9A54-7ED77211F4D7}"/>
    <cellStyle name="Normal 5 2 5" xfId="102" xr:uid="{A8110EAB-06C4-4A4E-8F6C-2439E74F0E9A}"/>
    <cellStyle name="Normal 5 3" xfId="114" xr:uid="{2295D4B1-B507-4768-9B9A-808682065BB2}"/>
    <cellStyle name="Normal 5 4" xfId="124" xr:uid="{7F422FDB-FB71-4111-BEB4-D77DC4A4F6CD}"/>
    <cellStyle name="Normal 5 5" xfId="106" xr:uid="{9A3A8956-5BEC-4B5E-8B31-FD6FB80C328B}"/>
    <cellStyle name="Normal 5 6" xfId="98" xr:uid="{D2C8F7E5-BF90-4EF6-847A-F7861EA26B81}"/>
    <cellStyle name="Normal 6" xfId="68" xr:uid="{472CB2E0-27DD-41E9-9059-BB0BE3E744C9}"/>
    <cellStyle name="Note 2" xfId="20" xr:uid="{18352260-BA96-4D78-9873-EF7D8BBD6F43}"/>
    <cellStyle name="Note 2 2" xfId="66" xr:uid="{8823891E-015C-49DD-8FC7-5449693B8FD1}"/>
    <cellStyle name="Note 2 2 2" xfId="91" xr:uid="{2B315299-9B01-4F20-9BB5-46DE335B5E66}"/>
    <cellStyle name="Note 3" xfId="21" xr:uid="{349B9618-C8B9-41E2-A307-409970889029}"/>
    <cellStyle name="Output 2" xfId="34" xr:uid="{96D10B3B-2C5C-40C3-AC84-CB8B26655075}"/>
    <cellStyle name="Per cent 2" xfId="93" xr:uid="{9630082E-ABB3-4C2B-BC9D-A4B363CB1847}"/>
    <cellStyle name="Percent 2" xfId="12" xr:uid="{89CFDBA4-6070-481C-B3FA-FF9167FFBD6C}"/>
    <cellStyle name="Percent 3" xfId="13" xr:uid="{C7AF41B8-7AFD-4682-A981-22BC8AE97791}"/>
    <cellStyle name="Percent 3 2" xfId="14" xr:uid="{2F1D9591-091D-4608-9D71-BDCCC24EF1F2}"/>
    <cellStyle name="Percent 3 2 2" xfId="15" xr:uid="{7E3A2DE9-446B-41FA-BF50-51CB4976552E}"/>
    <cellStyle name="Percent 3 2 2 2" xfId="75" xr:uid="{94B88599-CC6D-4EBF-8D10-4A5EFB3A116E}"/>
    <cellStyle name="Percent 3 3" xfId="74" xr:uid="{74240330-B2AC-4922-92E9-2786D7ECF6D9}"/>
    <cellStyle name="Percent 4" xfId="16" xr:uid="{B3ADB951-31F1-43CF-86E2-1226F0807693}"/>
    <cellStyle name="Percent 5" xfId="17" xr:uid="{3FAEE00C-363B-4339-A6D4-81EE69AE28D8}"/>
    <cellStyle name="Total 2" xfId="40" xr:uid="{2F3F8563-761B-478D-BDDF-EA9D36FD870E}"/>
    <cellStyle name="Warning Text 2" xfId="38" xr:uid="{4FDDC209-A659-491F-89EC-60CEBC857FA8}"/>
  </cellStyles>
  <dxfs count="0"/>
  <tableStyles count="1" defaultTableStyle="TableStyleMedium2" defaultPivotStyle="PivotStyleLight16">
    <tableStyle name="Invisible" pivot="0" table="0" count="0" xr9:uid="{748DA28B-0B02-43E3-995D-F2CDD46966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66</xdr:row>
      <xdr:rowOff>0</xdr:rowOff>
    </xdr:from>
    <xdr:to>
      <xdr:col>6</xdr:col>
      <xdr:colOff>381564</xdr:colOff>
      <xdr:row>71</xdr:row>
      <xdr:rowOff>171607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4C6A1EF-2B0C-BF92-3340-56B5BD4C8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73000"/>
          <a:ext cx="4039164" cy="11241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6</xdr:col>
      <xdr:colOff>314879</xdr:colOff>
      <xdr:row>78</xdr:row>
      <xdr:rowOff>114449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59D3136-F439-1869-55A5-28D0EBD53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06500"/>
          <a:ext cx="3972479" cy="106694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80</xdr:row>
      <xdr:rowOff>0</xdr:rowOff>
    </xdr:from>
    <xdr:to>
      <xdr:col>6</xdr:col>
      <xdr:colOff>238665</xdr:colOff>
      <xdr:row>85</xdr:row>
      <xdr:rowOff>181133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7014102-34A8-4ABF-6C8E-A125860A6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" y="15240000"/>
          <a:ext cx="3867690" cy="113363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</xdr:row>
      <xdr:rowOff>47625</xdr:rowOff>
    </xdr:from>
    <xdr:to>
      <xdr:col>6</xdr:col>
      <xdr:colOff>343453</xdr:colOff>
      <xdr:row>6</xdr:row>
      <xdr:rowOff>171600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944758-BFD1-E079-9F7D-9324E6742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238125"/>
          <a:ext cx="3962953" cy="1076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19050</xdr:rowOff>
    </xdr:from>
    <xdr:to>
      <xdr:col>6</xdr:col>
      <xdr:colOff>238669</xdr:colOff>
      <xdr:row>14</xdr:row>
      <xdr:rowOff>143065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C74B82-F541-6E8A-4EDD-C1A0F869ED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0976"/>
        <a:stretch>
          <a:fillRect/>
        </a:stretch>
      </xdr:blipFill>
      <xdr:spPr>
        <a:xfrm>
          <a:off x="0" y="1733550"/>
          <a:ext cx="3896269" cy="107651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</xdr:row>
      <xdr:rowOff>95250</xdr:rowOff>
    </xdr:from>
    <xdr:to>
      <xdr:col>6</xdr:col>
      <xdr:colOff>267245</xdr:colOff>
      <xdr:row>22</xdr:row>
      <xdr:rowOff>9673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87812EC-1C70-6882-3358-1E37BBB82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3143250"/>
          <a:ext cx="3905795" cy="105742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23</xdr:row>
      <xdr:rowOff>180975</xdr:rowOff>
    </xdr:from>
    <xdr:to>
      <xdr:col>6</xdr:col>
      <xdr:colOff>305349</xdr:colOff>
      <xdr:row>29</xdr:row>
      <xdr:rowOff>114450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F409024-5333-AC53-462A-06790ABDB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" y="4562475"/>
          <a:ext cx="3934374" cy="1076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38100</xdr:rowOff>
    </xdr:from>
    <xdr:to>
      <xdr:col>6</xdr:col>
      <xdr:colOff>457774</xdr:colOff>
      <xdr:row>36</xdr:row>
      <xdr:rowOff>133496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EA53590-BED6-F0A6-E35D-ABE1F494C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943600"/>
          <a:ext cx="4115374" cy="1047896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38</xdr:row>
      <xdr:rowOff>76200</xdr:rowOff>
    </xdr:from>
    <xdr:to>
      <xdr:col>6</xdr:col>
      <xdr:colOff>352970</xdr:colOff>
      <xdr:row>43</xdr:row>
      <xdr:rowOff>133491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3D61DD0-D164-C004-2E37-9FC83E30A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775" y="7315200"/>
          <a:ext cx="3905795" cy="100979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45</xdr:row>
      <xdr:rowOff>9525</xdr:rowOff>
    </xdr:from>
    <xdr:to>
      <xdr:col>6</xdr:col>
      <xdr:colOff>286295</xdr:colOff>
      <xdr:row>50</xdr:row>
      <xdr:rowOff>162079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7C44D41-2C79-5442-7C10-42A836F95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100" y="8582025"/>
          <a:ext cx="3905795" cy="110505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51</xdr:row>
      <xdr:rowOff>171450</xdr:rowOff>
    </xdr:from>
    <xdr:to>
      <xdr:col>6</xdr:col>
      <xdr:colOff>295820</xdr:colOff>
      <xdr:row>57</xdr:row>
      <xdr:rowOff>95399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80B2870-3974-6ACB-7546-2E6D49314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625" y="9886950"/>
          <a:ext cx="3905795" cy="1066949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59</xdr:row>
      <xdr:rowOff>57150</xdr:rowOff>
    </xdr:from>
    <xdr:to>
      <xdr:col>6</xdr:col>
      <xdr:colOff>391081</xdr:colOff>
      <xdr:row>64</xdr:row>
      <xdr:rowOff>114441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7CCDE79-7C40-B7D0-603A-0AA7D2FB9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" y="11296650"/>
          <a:ext cx="3982006" cy="10097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6</xdr:col>
      <xdr:colOff>372037</xdr:colOff>
      <xdr:row>71</xdr:row>
      <xdr:rowOff>181133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12C8B7D-0403-3BAC-5B4B-992D1BDE6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2573000"/>
          <a:ext cx="4029637" cy="11336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6</xdr:col>
      <xdr:colOff>248195</xdr:colOff>
      <xdr:row>78</xdr:row>
      <xdr:rowOff>76344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30B05195-81E5-54A0-B2AC-69D6AFDF2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3906500"/>
          <a:ext cx="3905795" cy="102884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79</xdr:row>
      <xdr:rowOff>161925</xdr:rowOff>
    </xdr:from>
    <xdr:to>
      <xdr:col>6</xdr:col>
      <xdr:colOff>276770</xdr:colOff>
      <xdr:row>85</xdr:row>
      <xdr:rowOff>95400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A3995E10-34F1-5EC0-AA8D-E64DA5784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8575" y="15211425"/>
          <a:ext cx="3905795" cy="1076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app.powerbi.com/view?r=eyJrIjoiODg3N2JiZGUtMDQxMC00ZDkyLThlYTEtNGZjZmU0YjAzMmFiIiwidCI6IjM3YzM1NGIyLTg1YjAtNDdmNS1iMjIyLTA3YjQ4ZDc3NGVlMyJ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iles.digital.nhs.uk/75/43199F/GP_Appointment_Publication_Summary_December_2024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48B3-8433-440C-AA04-18594C5D0638}">
  <dimension ref="A1:H80"/>
  <sheetViews>
    <sheetView topLeftCell="A79" workbookViewId="0">
      <selection activeCell="H2" sqref="H2"/>
    </sheetView>
  </sheetViews>
  <sheetFormatPr defaultRowHeight="15" x14ac:dyDescent="0.25"/>
  <sheetData>
    <row r="1" spans="1:8" x14ac:dyDescent="0.25">
      <c r="A1" s="2">
        <v>45627</v>
      </c>
      <c r="H1" t="s">
        <v>42</v>
      </c>
    </row>
    <row r="3" spans="1:8" x14ac:dyDescent="0.25">
      <c r="H3" s="4" t="s">
        <v>20</v>
      </c>
    </row>
    <row r="9" spans="1:8" x14ac:dyDescent="0.25">
      <c r="A9" s="2">
        <v>45597</v>
      </c>
    </row>
    <row r="16" spans="1:8" x14ac:dyDescent="0.25">
      <c r="A16" t="s">
        <v>0</v>
      </c>
    </row>
    <row r="24" spans="1:1" x14ac:dyDescent="0.25">
      <c r="A24" s="2">
        <v>45536</v>
      </c>
    </row>
    <row r="31" spans="1:1" x14ac:dyDescent="0.25">
      <c r="A31" s="2">
        <v>45505</v>
      </c>
    </row>
    <row r="38" spans="1:1" x14ac:dyDescent="0.25">
      <c r="A38" s="2">
        <v>45474</v>
      </c>
    </row>
    <row r="45" spans="1:1" x14ac:dyDescent="0.25">
      <c r="A45" s="2">
        <v>45444</v>
      </c>
    </row>
    <row r="52" spans="1:1" x14ac:dyDescent="0.25">
      <c r="A52" s="2">
        <v>45413</v>
      </c>
    </row>
    <row r="59" spans="1:1" x14ac:dyDescent="0.25">
      <c r="A59" s="2">
        <v>45383</v>
      </c>
    </row>
    <row r="66" spans="1:1" x14ac:dyDescent="0.25">
      <c r="A66" s="2">
        <v>45352</v>
      </c>
    </row>
    <row r="73" spans="1:1" x14ac:dyDescent="0.25">
      <c r="A73" s="2">
        <v>45323</v>
      </c>
    </row>
    <row r="80" spans="1:1" x14ac:dyDescent="0.25">
      <c r="A80" s="2">
        <v>45292</v>
      </c>
    </row>
  </sheetData>
  <hyperlinks>
    <hyperlink ref="H3" r:id="rId1" xr:uid="{414DC2DB-9F0B-4732-A72B-AF3DFC726FE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80D5A-A7ED-43ED-8A18-2E44CA578FC9}">
  <dimension ref="A1:R15"/>
  <sheetViews>
    <sheetView tabSelected="1" workbookViewId="0">
      <selection activeCell="L2" sqref="L2"/>
    </sheetView>
  </sheetViews>
  <sheetFormatPr defaultRowHeight="15" x14ac:dyDescent="0.25"/>
  <cols>
    <col min="1" max="1" width="11.140625" customWidth="1"/>
    <col min="2" max="2" width="10.140625" bestFit="1" customWidth="1"/>
    <col min="3" max="3" width="9.85546875" customWidth="1"/>
    <col min="7" max="7" width="11.7109375" customWidth="1"/>
    <col min="9" max="10" width="9.140625" style="34"/>
    <col min="11" max="11" width="10.140625" style="34" customWidth="1"/>
    <col min="12" max="17" width="9.140625" style="34"/>
  </cols>
  <sheetData>
    <row r="1" spans="1:18" ht="45" x14ac:dyDescent="0.25">
      <c r="A1" s="29" t="s">
        <v>19</v>
      </c>
      <c r="B1" s="29" t="s">
        <v>43</v>
      </c>
      <c r="C1" s="29" t="s">
        <v>45</v>
      </c>
      <c r="D1" s="29" t="s">
        <v>47</v>
      </c>
      <c r="E1" s="29" t="s">
        <v>49</v>
      </c>
      <c r="F1" s="29" t="s">
        <v>51</v>
      </c>
      <c r="G1" s="29" t="s">
        <v>52</v>
      </c>
      <c r="I1" s="32" t="s">
        <v>54</v>
      </c>
      <c r="J1" s="32" t="s">
        <v>53</v>
      </c>
      <c r="K1" s="32" t="s">
        <v>44</v>
      </c>
      <c r="L1" s="32" t="s">
        <v>68</v>
      </c>
      <c r="M1" s="32" t="s">
        <v>46</v>
      </c>
      <c r="N1" s="32" t="s">
        <v>67</v>
      </c>
      <c r="O1" s="32" t="s">
        <v>48</v>
      </c>
      <c r="P1" s="32" t="s">
        <v>66</v>
      </c>
      <c r="Q1" s="32" t="s">
        <v>50</v>
      </c>
    </row>
    <row r="2" spans="1:18" x14ac:dyDescent="0.25">
      <c r="A2" s="35" t="s">
        <v>5</v>
      </c>
      <c r="B2" s="31">
        <v>8976590</v>
      </c>
      <c r="C2" s="31">
        <v>5078555</v>
      </c>
      <c r="D2" s="31">
        <v>596332</v>
      </c>
      <c r="E2" s="31">
        <v>160296</v>
      </c>
      <c r="F2" s="31">
        <v>134211</v>
      </c>
      <c r="G2" s="31">
        <f>SUM(B2:F2)</f>
        <v>14945984</v>
      </c>
      <c r="I2" s="33">
        <v>0.60099999999999998</v>
      </c>
      <c r="J2" s="30">
        <f>B2/$G2</f>
        <v>0.60060214168568626</v>
      </c>
      <c r="K2" s="33">
        <v>0.34</v>
      </c>
      <c r="L2" s="30">
        <f>C2/$G2</f>
        <v>0.33979395401467044</v>
      </c>
      <c r="M2" s="33">
        <v>0.04</v>
      </c>
      <c r="N2" s="30">
        <f>D2/$G2</f>
        <v>3.9899146151902744E-2</v>
      </c>
      <c r="O2" s="33">
        <v>1.0999999999999999E-2</v>
      </c>
      <c r="P2" s="30">
        <f>E2/$G2</f>
        <v>1.0725021517485901E-2</v>
      </c>
      <c r="Q2" s="33">
        <v>8.9999999999999993E-3</v>
      </c>
      <c r="R2" s="30">
        <f>F2/$G2</f>
        <v>8.9797366302546561E-3</v>
      </c>
    </row>
    <row r="3" spans="1:18" x14ac:dyDescent="0.25">
      <c r="A3" s="35" t="s">
        <v>6</v>
      </c>
      <c r="B3" s="31">
        <v>8391817</v>
      </c>
      <c r="C3" s="31">
        <v>4692550</v>
      </c>
      <c r="D3" s="31">
        <v>592438</v>
      </c>
      <c r="E3" s="31">
        <v>141184</v>
      </c>
      <c r="F3" s="31">
        <v>129243</v>
      </c>
      <c r="G3" s="31">
        <f t="shared" ref="G3:G13" si="0">SUM(B3:F3)</f>
        <v>13947232</v>
      </c>
      <c r="I3" s="33">
        <v>0.60199999999999998</v>
      </c>
      <c r="J3" s="30">
        <f t="shared" ref="J3:J13" si="1">B3/$G3</f>
        <v>0.60168333042714139</v>
      </c>
      <c r="K3" s="33">
        <v>0.33600000000000002</v>
      </c>
      <c r="L3" s="30">
        <f t="shared" ref="L3:L13" si="2">C3/$G3</f>
        <v>0.3364502719966227</v>
      </c>
      <c r="M3" s="33">
        <v>4.2000000000000003E-2</v>
      </c>
      <c r="N3" s="30">
        <f t="shared" ref="N3:N13" si="3">D3/$G3</f>
        <v>4.2477102266600286E-2</v>
      </c>
      <c r="O3" s="33">
        <v>0.01</v>
      </c>
      <c r="P3" s="30">
        <f t="shared" ref="P3:P13" si="4">E3/$G3</f>
        <v>1.0122725426808704E-2</v>
      </c>
      <c r="Q3" s="33">
        <v>8.9999999999999993E-3</v>
      </c>
      <c r="R3" s="30">
        <f t="shared" ref="R3:R12" si="5">F3/$G3</f>
        <v>9.2665698828269302E-3</v>
      </c>
    </row>
    <row r="4" spans="1:18" x14ac:dyDescent="0.25">
      <c r="A4" s="35" t="s">
        <v>7</v>
      </c>
      <c r="B4" s="31">
        <v>8171766</v>
      </c>
      <c r="C4" s="31">
        <v>4571046</v>
      </c>
      <c r="D4" s="31">
        <v>641600</v>
      </c>
      <c r="E4" s="31">
        <v>137723</v>
      </c>
      <c r="F4" s="31">
        <v>109776</v>
      </c>
      <c r="G4" s="31">
        <f t="shared" si="0"/>
        <v>13631911</v>
      </c>
      <c r="I4" s="33">
        <v>0.59899999999999998</v>
      </c>
      <c r="J4" s="30">
        <f t="shared" si="1"/>
        <v>0.59945857921167467</v>
      </c>
      <c r="K4" s="33">
        <v>0.33500000000000002</v>
      </c>
      <c r="L4" s="30">
        <f t="shared" si="2"/>
        <v>0.33531953076865012</v>
      </c>
      <c r="M4" s="33">
        <v>4.7E-2</v>
      </c>
      <c r="N4" s="30">
        <f t="shared" si="3"/>
        <v>4.7066034982182613E-2</v>
      </c>
      <c r="O4" s="33">
        <v>0.01</v>
      </c>
      <c r="P4" s="30">
        <f t="shared" si="4"/>
        <v>1.0102985560865238E-2</v>
      </c>
      <c r="Q4" s="33">
        <v>8.0000000000000002E-3</v>
      </c>
      <c r="R4" s="30">
        <f t="shared" si="5"/>
        <v>8.0528694766273043E-3</v>
      </c>
    </row>
    <row r="5" spans="1:18" x14ac:dyDescent="0.25">
      <c r="A5" s="35" t="s">
        <v>8</v>
      </c>
      <c r="B5" s="31">
        <v>8193363</v>
      </c>
      <c r="C5" s="31">
        <v>4581217</v>
      </c>
      <c r="D5" s="31">
        <v>706303</v>
      </c>
      <c r="E5" s="31">
        <v>147213</v>
      </c>
      <c r="F5" s="31">
        <v>89553</v>
      </c>
      <c r="G5" s="31">
        <f t="shared" si="0"/>
        <v>13717649</v>
      </c>
      <c r="I5" s="33">
        <v>0.59699999999999998</v>
      </c>
      <c r="J5" s="30">
        <f t="shared" si="1"/>
        <v>0.59728624052124379</v>
      </c>
      <c r="K5" s="33">
        <v>0.33400000000000002</v>
      </c>
      <c r="L5" s="30">
        <f t="shared" si="2"/>
        <v>0.33396517143717558</v>
      </c>
      <c r="M5" s="33">
        <v>5.0999999999999997E-2</v>
      </c>
      <c r="N5" s="30">
        <f t="shared" si="3"/>
        <v>5.1488633365673664E-2</v>
      </c>
      <c r="O5" s="33">
        <v>1.0999999999999999E-2</v>
      </c>
      <c r="P5" s="30">
        <f t="shared" si="4"/>
        <v>1.0731649424766591E-2</v>
      </c>
      <c r="Q5" s="33">
        <v>7.0000000000000001E-3</v>
      </c>
      <c r="R5" s="30">
        <f t="shared" si="5"/>
        <v>6.5283052511403376E-3</v>
      </c>
    </row>
    <row r="6" spans="1:18" x14ac:dyDescent="0.25">
      <c r="A6" s="35" t="s">
        <v>9</v>
      </c>
      <c r="B6" s="31">
        <v>8209189</v>
      </c>
      <c r="C6" s="31">
        <v>4567673</v>
      </c>
      <c r="D6" s="31">
        <v>741564</v>
      </c>
      <c r="E6" s="31">
        <v>151522</v>
      </c>
      <c r="F6" s="31">
        <v>95408</v>
      </c>
      <c r="G6" s="31">
        <f t="shared" si="0"/>
        <v>13765356</v>
      </c>
      <c r="I6" s="33">
        <v>0.59599999999999997</v>
      </c>
      <c r="J6" s="30">
        <f t="shared" si="1"/>
        <v>0.59636590582909732</v>
      </c>
      <c r="K6" s="33">
        <v>0.33200000000000002</v>
      </c>
      <c r="L6" s="30">
        <f t="shared" si="2"/>
        <v>0.33182381915876347</v>
      </c>
      <c r="M6" s="33">
        <v>5.3999999999999999E-2</v>
      </c>
      <c r="N6" s="30">
        <f t="shared" si="3"/>
        <v>5.3871763287487807E-2</v>
      </c>
      <c r="O6" s="33">
        <v>1.0999999999999999E-2</v>
      </c>
      <c r="P6" s="30">
        <f t="shared" si="4"/>
        <v>1.100748865485208E-2</v>
      </c>
      <c r="Q6" s="33">
        <v>7.0000000000000001E-3</v>
      </c>
      <c r="R6" s="30">
        <f t="shared" si="5"/>
        <v>6.9310230697992841E-3</v>
      </c>
    </row>
    <row r="7" spans="1:18" x14ac:dyDescent="0.25">
      <c r="A7" s="35" t="s">
        <v>10</v>
      </c>
      <c r="B7" s="31">
        <v>7624665</v>
      </c>
      <c r="C7" s="31">
        <v>4294825</v>
      </c>
      <c r="D7" s="31">
        <v>718139</v>
      </c>
      <c r="E7" s="31">
        <v>137619</v>
      </c>
      <c r="F7" s="31">
        <v>100632</v>
      </c>
      <c r="G7" s="31">
        <f t="shared" si="0"/>
        <v>12875880</v>
      </c>
      <c r="I7" s="33">
        <v>0.59199999999999997</v>
      </c>
      <c r="J7" s="30">
        <f t="shared" si="1"/>
        <v>0.59216651599735315</v>
      </c>
      <c r="K7" s="33">
        <v>0.33400000000000002</v>
      </c>
      <c r="L7" s="30">
        <f t="shared" si="2"/>
        <v>0.33355584239679154</v>
      </c>
      <c r="M7" s="33">
        <v>5.6000000000000001E-2</v>
      </c>
      <c r="N7" s="30">
        <f t="shared" si="3"/>
        <v>5.5773974283699443E-2</v>
      </c>
      <c r="O7" s="33">
        <v>1.0999999999999999E-2</v>
      </c>
      <c r="P7" s="30">
        <f t="shared" si="4"/>
        <v>1.0688123840855926E-2</v>
      </c>
      <c r="Q7" s="33">
        <v>8.0000000000000002E-3</v>
      </c>
      <c r="R7" s="30">
        <f t="shared" si="5"/>
        <v>7.8155434812999195E-3</v>
      </c>
    </row>
    <row r="8" spans="1:18" x14ac:dyDescent="0.25">
      <c r="A8" s="35" t="s">
        <v>11</v>
      </c>
      <c r="B8" s="31">
        <v>8221503</v>
      </c>
      <c r="C8" s="31">
        <v>4651017</v>
      </c>
      <c r="D8" s="31">
        <v>819525</v>
      </c>
      <c r="E8" s="31">
        <v>150049</v>
      </c>
      <c r="F8" s="31">
        <v>105723</v>
      </c>
      <c r="G8" s="31">
        <f t="shared" si="0"/>
        <v>13947817</v>
      </c>
      <c r="I8" s="33">
        <v>0.58899999999999997</v>
      </c>
      <c r="J8" s="30">
        <f t="shared" si="1"/>
        <v>0.589447294870588</v>
      </c>
      <c r="K8" s="33">
        <v>0.33300000000000002</v>
      </c>
      <c r="L8" s="30">
        <f t="shared" si="2"/>
        <v>0.33345841861848347</v>
      </c>
      <c r="M8" s="33">
        <v>5.8999999999999997E-2</v>
      </c>
      <c r="N8" s="30">
        <f t="shared" si="3"/>
        <v>5.8756506484132963E-2</v>
      </c>
      <c r="O8" s="33">
        <v>1.0999999999999999E-2</v>
      </c>
      <c r="P8" s="30">
        <f t="shared" si="4"/>
        <v>1.0757884190766197E-2</v>
      </c>
      <c r="Q8" s="33">
        <v>8.0000000000000002E-3</v>
      </c>
      <c r="R8" s="30">
        <f t="shared" si="5"/>
        <v>7.5798958360293947E-3</v>
      </c>
    </row>
    <row r="9" spans="1:18" x14ac:dyDescent="0.25">
      <c r="A9" s="35" t="s">
        <v>12</v>
      </c>
      <c r="B9" s="31">
        <v>7182307</v>
      </c>
      <c r="C9" s="31">
        <v>4113100</v>
      </c>
      <c r="D9" s="31">
        <v>756189</v>
      </c>
      <c r="E9" s="31">
        <v>136225</v>
      </c>
      <c r="F9" s="31">
        <v>86440</v>
      </c>
      <c r="G9" s="31">
        <f t="shared" si="0"/>
        <v>12274261</v>
      </c>
      <c r="I9" s="33">
        <v>0.58499999999999996</v>
      </c>
      <c r="J9" s="30">
        <f t="shared" si="1"/>
        <v>0.58515188816662767</v>
      </c>
      <c r="K9" s="33">
        <v>0.33500000000000002</v>
      </c>
      <c r="L9" s="30">
        <f t="shared" si="2"/>
        <v>0.33509960395986366</v>
      </c>
      <c r="M9" s="33">
        <v>6.2E-2</v>
      </c>
      <c r="N9" s="30">
        <f>D9/$G9</f>
        <v>6.1607700862805509E-2</v>
      </c>
      <c r="O9" s="33">
        <v>1.0999999999999999E-2</v>
      </c>
      <c r="P9" s="30">
        <f t="shared" si="4"/>
        <v>1.1098427840177099E-2</v>
      </c>
      <c r="Q9" s="33">
        <v>7.0000000000000001E-3</v>
      </c>
      <c r="R9" s="30">
        <f t="shared" si="5"/>
        <v>7.0423791705260304E-3</v>
      </c>
    </row>
    <row r="10" spans="1:18" x14ac:dyDescent="0.25">
      <c r="A10" s="35" t="s">
        <v>13</v>
      </c>
      <c r="B10" s="31">
        <v>7880465</v>
      </c>
      <c r="C10" s="31">
        <v>4383507</v>
      </c>
      <c r="D10" s="31">
        <v>832286</v>
      </c>
      <c r="E10" s="31">
        <v>141260</v>
      </c>
      <c r="F10" s="31">
        <v>96968</v>
      </c>
      <c r="G10" s="31">
        <f t="shared" si="0"/>
        <v>13334486</v>
      </c>
      <c r="I10" s="33">
        <v>0.59099999999999997</v>
      </c>
      <c r="J10" s="30">
        <f t="shared" si="1"/>
        <v>0.59098378445183419</v>
      </c>
      <c r="K10" s="33">
        <v>0.32900000000000001</v>
      </c>
      <c r="L10" s="30">
        <f t="shared" si="2"/>
        <v>0.32873460589332054</v>
      </c>
      <c r="M10" s="33">
        <v>6.2E-2</v>
      </c>
      <c r="N10" s="30">
        <f t="shared" si="3"/>
        <v>6.2416054132120279E-2</v>
      </c>
      <c r="O10" s="33">
        <v>1.0999999999999999E-2</v>
      </c>
      <c r="P10" s="30">
        <f t="shared" si="4"/>
        <v>1.0593584184647238E-2</v>
      </c>
      <c r="Q10" s="33">
        <v>7.0000000000000001E-3</v>
      </c>
      <c r="R10" s="30">
        <f t="shared" si="5"/>
        <v>7.271971338077823E-3</v>
      </c>
    </row>
    <row r="11" spans="1:18" x14ac:dyDescent="0.25">
      <c r="A11" s="35" t="s">
        <v>14</v>
      </c>
      <c r="B11" s="31">
        <v>9682494</v>
      </c>
      <c r="C11" s="31">
        <v>4766213</v>
      </c>
      <c r="D11" s="31">
        <v>946799</v>
      </c>
      <c r="E11" s="31">
        <v>165281</v>
      </c>
      <c r="F11" s="31">
        <v>104783</v>
      </c>
      <c r="G11" s="31">
        <f t="shared" si="0"/>
        <v>15665570</v>
      </c>
      <c r="I11" s="33">
        <v>0.61799999999999999</v>
      </c>
      <c r="J11" s="30">
        <f t="shared" si="1"/>
        <v>0.61807479715069413</v>
      </c>
      <c r="K11" s="33">
        <v>0.30399999999999999</v>
      </c>
      <c r="L11" s="30">
        <f t="shared" si="2"/>
        <v>0.30424765903826034</v>
      </c>
      <c r="M11" s="33">
        <v>0.06</v>
      </c>
      <c r="N11" s="30">
        <f t="shared" si="3"/>
        <v>6.0438209398062118E-2</v>
      </c>
      <c r="O11" s="33">
        <v>1.0999999999999999E-2</v>
      </c>
      <c r="P11" s="30">
        <f t="shared" si="4"/>
        <v>1.0550589605102145E-2</v>
      </c>
      <c r="Q11" s="33">
        <v>7.0000000000000001E-3</v>
      </c>
      <c r="R11" s="30">
        <f t="shared" si="5"/>
        <v>6.6887448078812323E-3</v>
      </c>
    </row>
    <row r="12" spans="1:18" x14ac:dyDescent="0.25">
      <c r="A12" s="35" t="s">
        <v>15</v>
      </c>
      <c r="B12" s="31">
        <v>8257519</v>
      </c>
      <c r="C12" s="31">
        <v>4440987</v>
      </c>
      <c r="D12" s="31">
        <v>905562</v>
      </c>
      <c r="E12" s="31">
        <v>146960</v>
      </c>
      <c r="F12" s="31">
        <v>95074</v>
      </c>
      <c r="G12" s="31">
        <f t="shared" si="0"/>
        <v>13846102</v>
      </c>
      <c r="I12" s="33">
        <v>0.59599999999999997</v>
      </c>
      <c r="J12" s="30">
        <f t="shared" si="1"/>
        <v>0.59637860532877773</v>
      </c>
      <c r="K12" s="33">
        <v>0.32100000000000001</v>
      </c>
      <c r="L12" s="30">
        <f t="shared" si="2"/>
        <v>0.32073915098993205</v>
      </c>
      <c r="M12" s="33">
        <v>6.5000000000000002E-2</v>
      </c>
      <c r="N12" s="30">
        <f t="shared" si="3"/>
        <v>6.540194489394921E-2</v>
      </c>
      <c r="O12" s="33">
        <v>1.0999999999999999E-2</v>
      </c>
      <c r="P12" s="30">
        <f t="shared" si="4"/>
        <v>1.0613817520627827E-2</v>
      </c>
      <c r="Q12" s="33">
        <v>7.0000000000000001E-3</v>
      </c>
      <c r="R12" s="30">
        <f t="shared" si="5"/>
        <v>6.8664812667131878E-3</v>
      </c>
    </row>
    <row r="13" spans="1:18" x14ac:dyDescent="0.25">
      <c r="A13" s="35" t="s">
        <v>16</v>
      </c>
      <c r="B13" s="31">
        <v>7554737</v>
      </c>
      <c r="C13" s="31">
        <v>4163243</v>
      </c>
      <c r="D13" s="31">
        <v>865315</v>
      </c>
      <c r="E13" s="31">
        <v>143608</v>
      </c>
      <c r="F13" s="31">
        <v>84433</v>
      </c>
      <c r="G13" s="31">
        <f t="shared" si="0"/>
        <v>12811336</v>
      </c>
      <c r="I13" s="33">
        <v>0.59</v>
      </c>
      <c r="J13" s="30">
        <f t="shared" si="1"/>
        <v>0.58969158251723319</v>
      </c>
      <c r="K13" s="33">
        <v>0.32500000000000001</v>
      </c>
      <c r="L13" s="30">
        <f t="shared" si="2"/>
        <v>0.32496556174937569</v>
      </c>
      <c r="M13" s="33">
        <v>6.8000000000000005E-2</v>
      </c>
      <c r="N13" s="30">
        <f t="shared" si="3"/>
        <v>6.7542916679415796E-2</v>
      </c>
      <c r="O13" s="33">
        <v>1.0999999999999999E-2</v>
      </c>
      <c r="P13" s="30">
        <f t="shared" si="4"/>
        <v>1.1209447632940078E-2</v>
      </c>
      <c r="Q13" s="33">
        <v>7.0000000000000001E-3</v>
      </c>
      <c r="R13" s="30">
        <f>F13/$G13</f>
        <v>6.5904914210352453E-3</v>
      </c>
    </row>
    <row r="14" spans="1:18" x14ac:dyDescent="0.25">
      <c r="A14" s="35" t="s">
        <v>17</v>
      </c>
      <c r="B14" s="5">
        <f>SUM(B2:B13)</f>
        <v>98346415</v>
      </c>
      <c r="C14" s="5">
        <f t="shared" ref="C14:G14" si="6">SUM(C2:C13)</f>
        <v>54303933</v>
      </c>
      <c r="D14" s="5">
        <f t="shared" si="6"/>
        <v>9122052</v>
      </c>
      <c r="E14" s="5">
        <f t="shared" si="6"/>
        <v>1758940</v>
      </c>
      <c r="F14" s="5">
        <f t="shared" si="6"/>
        <v>1232244</v>
      </c>
      <c r="G14" s="36">
        <f t="shared" si="6"/>
        <v>164763584</v>
      </c>
    </row>
    <row r="15" spans="1:18" x14ac:dyDescent="0.25">
      <c r="A15" s="35" t="s">
        <v>18</v>
      </c>
      <c r="B15" s="3">
        <f>B14/$G$14</f>
        <v>0.59689412315769974</v>
      </c>
      <c r="C15" s="41">
        <f>C14/$G$14</f>
        <v>0.32958698567761185</v>
      </c>
      <c r="D15" s="3">
        <f>D14/$G$14</f>
        <v>5.5364491221555366E-2</v>
      </c>
      <c r="E15" s="3">
        <f>E14/$G$14</f>
        <v>1.0675538594741907E-2</v>
      </c>
      <c r="F15" s="3">
        <f>F14/$G$14</f>
        <v>7.4788613483911586E-3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E58D-808E-43DA-8FDC-35E8DCC2F959}">
  <dimension ref="A1:AI44"/>
  <sheetViews>
    <sheetView workbookViewId="0">
      <selection activeCell="I37" sqref="I37"/>
    </sheetView>
  </sheetViews>
  <sheetFormatPr defaultRowHeight="15" x14ac:dyDescent="0.25"/>
  <cols>
    <col min="2" max="9" width="11.42578125" customWidth="1"/>
    <col min="10" max="10" width="16.42578125" customWidth="1"/>
    <col min="11" max="13" width="11.42578125" customWidth="1"/>
    <col min="14" max="14" width="11" customWidth="1"/>
    <col min="16" max="16" width="11.140625" bestFit="1" customWidth="1"/>
  </cols>
  <sheetData>
    <row r="1" spans="1:35" s="12" customFormat="1" ht="15.75" customHeight="1" x14ac:dyDescent="0.25">
      <c r="A1" s="12" t="s">
        <v>61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5"/>
      <c r="AH1" s="10"/>
      <c r="AI1" s="11"/>
    </row>
    <row r="2" spans="1:35" s="12" customFormat="1" ht="14.1" customHeight="1" x14ac:dyDescent="0.25">
      <c r="A2" s="37" t="s">
        <v>55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5"/>
      <c r="AH2" s="10"/>
      <c r="AI2" s="11"/>
    </row>
    <row r="3" spans="1:35" s="12" customFormat="1" ht="14.1" customHeight="1" x14ac:dyDescent="0.25">
      <c r="A3" s="37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5"/>
      <c r="AH3" s="10"/>
      <c r="AI3" s="11"/>
    </row>
    <row r="4" spans="1:35" x14ac:dyDescent="0.25">
      <c r="A4" s="17"/>
      <c r="B4" s="18"/>
      <c r="C4" s="7" t="s">
        <v>21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26</v>
      </c>
      <c r="I4" s="7" t="s">
        <v>27</v>
      </c>
      <c r="J4" s="7" t="s">
        <v>28</v>
      </c>
      <c r="K4" s="7" t="s">
        <v>29</v>
      </c>
      <c r="L4" s="7" t="s">
        <v>30</v>
      </c>
      <c r="M4" s="7" t="s">
        <v>31</v>
      </c>
      <c r="N4" s="7">
        <v>45292</v>
      </c>
    </row>
    <row r="5" spans="1:35" ht="45" x14ac:dyDescent="0.25">
      <c r="A5" s="27" t="s">
        <v>40</v>
      </c>
      <c r="B5" s="9" t="s">
        <v>41</v>
      </c>
      <c r="C5" s="6">
        <v>28269375</v>
      </c>
      <c r="D5" s="6">
        <v>31443580</v>
      </c>
      <c r="E5" s="6">
        <v>38464604</v>
      </c>
      <c r="F5" s="6">
        <v>29871287</v>
      </c>
      <c r="G5" s="6">
        <v>27514687</v>
      </c>
      <c r="H5" s="6">
        <v>31198495</v>
      </c>
      <c r="I5" s="6">
        <v>28127121</v>
      </c>
      <c r="J5" s="6">
        <v>30031332</v>
      </c>
      <c r="K5" s="6">
        <v>30072755</v>
      </c>
      <c r="L5" s="6">
        <v>29513769</v>
      </c>
      <c r="M5" s="6">
        <v>30519550</v>
      </c>
      <c r="N5" s="6">
        <v>32410802</v>
      </c>
      <c r="P5" s="36">
        <f>SUM(C5:N5)</f>
        <v>367437357</v>
      </c>
    </row>
    <row r="6" spans="1:35" x14ac:dyDescent="0.25">
      <c r="A6" s="8"/>
      <c r="B6" s="9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35" ht="45" x14ac:dyDescent="0.25">
      <c r="A7" s="8" t="s">
        <v>33</v>
      </c>
      <c r="B7" s="9" t="s">
        <v>1</v>
      </c>
      <c r="C7" s="6">
        <v>18215987</v>
      </c>
      <c r="D7" s="6">
        <v>20702854</v>
      </c>
      <c r="E7" s="6">
        <v>26882753</v>
      </c>
      <c r="F7" s="6">
        <v>19570057</v>
      </c>
      <c r="G7" s="6">
        <v>17830192</v>
      </c>
      <c r="H7" s="6">
        <v>20378521</v>
      </c>
      <c r="I7" s="6">
        <v>18463335</v>
      </c>
      <c r="J7" s="6">
        <v>19782846</v>
      </c>
      <c r="K7" s="6">
        <v>19873370</v>
      </c>
      <c r="L7" s="6">
        <v>19500965</v>
      </c>
      <c r="M7" s="6">
        <v>20272554</v>
      </c>
      <c r="N7" s="6">
        <v>21597932</v>
      </c>
      <c r="P7" s="5">
        <f>SUM(C7:N7)</f>
        <v>243071366</v>
      </c>
    </row>
    <row r="8" spans="1:35" x14ac:dyDescent="0.25">
      <c r="A8" s="8"/>
      <c r="B8" s="13" t="s">
        <v>4</v>
      </c>
      <c r="C8" s="14">
        <v>331988</v>
      </c>
      <c r="D8" s="14">
        <v>365362</v>
      </c>
      <c r="E8" s="14">
        <v>436652</v>
      </c>
      <c r="F8" s="14">
        <v>330183</v>
      </c>
      <c r="G8" s="14">
        <v>315457</v>
      </c>
      <c r="H8" s="14">
        <v>346875</v>
      </c>
      <c r="I8" s="14">
        <v>314898</v>
      </c>
      <c r="J8" s="14">
        <v>347407</v>
      </c>
      <c r="K8" s="14">
        <v>346302</v>
      </c>
      <c r="L8" s="14">
        <v>318712</v>
      </c>
      <c r="M8" s="14">
        <v>331969</v>
      </c>
      <c r="N8" s="14">
        <v>367872</v>
      </c>
      <c r="P8" s="5">
        <f>SUM(C8:N8)</f>
        <v>4153677</v>
      </c>
    </row>
    <row r="9" spans="1:35" s="21" customFormat="1" ht="27.6" customHeight="1" x14ac:dyDescent="0.25">
      <c r="A9" s="15"/>
      <c r="B9" s="13" t="s">
        <v>2</v>
      </c>
      <c r="C9" s="14">
        <v>7180975</v>
      </c>
      <c r="D9" s="14">
        <v>7675413</v>
      </c>
      <c r="E9" s="14">
        <v>8253972</v>
      </c>
      <c r="F9" s="14">
        <v>7577108</v>
      </c>
      <c r="G9" s="14">
        <v>7186491</v>
      </c>
      <c r="H9" s="14">
        <v>8103699</v>
      </c>
      <c r="I9" s="14">
        <v>7295324</v>
      </c>
      <c r="J9" s="14">
        <v>7792607</v>
      </c>
      <c r="K9" s="14">
        <v>7862712</v>
      </c>
      <c r="L9" s="14">
        <v>7788424</v>
      </c>
      <c r="M9" s="14">
        <v>8003568</v>
      </c>
      <c r="N9" s="14">
        <v>8508682</v>
      </c>
      <c r="O9" s="7"/>
      <c r="P9" s="5">
        <f>SUM(C9:N9)</f>
        <v>93228975</v>
      </c>
      <c r="Q9" s="39">
        <f>P9/P5</f>
        <v>0.25372753538503162</v>
      </c>
      <c r="R9" s="40" t="s">
        <v>62</v>
      </c>
      <c r="S9" s="7"/>
      <c r="T9" s="7"/>
      <c r="U9" s="7"/>
      <c r="V9" s="7"/>
      <c r="W9" s="7"/>
      <c r="X9" s="19"/>
      <c r="Y9" s="19"/>
      <c r="Z9" s="19"/>
      <c r="AA9" s="19"/>
      <c r="AB9" s="19"/>
      <c r="AC9" s="19"/>
      <c r="AD9" s="19"/>
      <c r="AE9" s="19"/>
      <c r="AF9" s="19"/>
      <c r="AG9" s="2"/>
      <c r="AH9" s="20"/>
      <c r="AI9" s="20"/>
    </row>
    <row r="10" spans="1:35" s="12" customFormat="1" ht="16.5" customHeight="1" x14ac:dyDescent="0.25">
      <c r="A10" s="15"/>
      <c r="B10" s="13" t="s">
        <v>3</v>
      </c>
      <c r="C10" s="14">
        <v>1617528</v>
      </c>
      <c r="D10" s="14">
        <v>1698177</v>
      </c>
      <c r="E10" s="14">
        <v>1769261</v>
      </c>
      <c r="F10" s="14">
        <v>1558196</v>
      </c>
      <c r="G10" s="14">
        <v>1424052</v>
      </c>
      <c r="H10" s="14">
        <v>1529498</v>
      </c>
      <c r="I10" s="14">
        <v>1323952</v>
      </c>
      <c r="J10" s="14">
        <v>1358067</v>
      </c>
      <c r="K10" s="14">
        <v>1301924</v>
      </c>
      <c r="L10" s="14">
        <v>1169096</v>
      </c>
      <c r="M10" s="14">
        <v>1101625</v>
      </c>
      <c r="N10" s="14">
        <v>1095648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5"/>
      <c r="AH10" s="10"/>
      <c r="AI10" s="11"/>
    </row>
    <row r="11" spans="1:35" s="12" customFormat="1" ht="16.5" customHeight="1" x14ac:dyDescent="0.25">
      <c r="A11" s="15"/>
      <c r="B11" s="13" t="s">
        <v>34</v>
      </c>
      <c r="C11" s="14">
        <v>922897</v>
      </c>
      <c r="D11" s="14">
        <v>1001774</v>
      </c>
      <c r="E11" s="14">
        <v>1121966</v>
      </c>
      <c r="F11" s="14">
        <v>835743</v>
      </c>
      <c r="G11" s="14">
        <v>758495</v>
      </c>
      <c r="H11" s="14">
        <v>839902</v>
      </c>
      <c r="I11" s="14">
        <v>729612</v>
      </c>
      <c r="J11" s="14">
        <v>750405</v>
      </c>
      <c r="K11" s="14">
        <v>688447</v>
      </c>
      <c r="L11" s="14">
        <v>736572</v>
      </c>
      <c r="M11" s="14">
        <v>809834</v>
      </c>
      <c r="N11" s="14">
        <v>840668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5"/>
      <c r="AH11" s="10"/>
      <c r="AI11" s="11"/>
    </row>
    <row r="12" spans="1:35" s="12" customFormat="1" ht="16.5" customHeight="1" x14ac:dyDescent="0.25">
      <c r="A12" s="15"/>
      <c r="B12" s="16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5"/>
      <c r="AH12" s="10"/>
      <c r="AI12" s="11"/>
    </row>
    <row r="13" spans="1:35" s="12" customFormat="1" ht="14.1" customHeight="1" x14ac:dyDescent="0.25">
      <c r="A13" s="22" t="s">
        <v>35</v>
      </c>
      <c r="B13" s="23" t="s">
        <v>32</v>
      </c>
      <c r="C13" s="6">
        <v>12635085</v>
      </c>
      <c r="D13" s="6">
        <v>13647741</v>
      </c>
      <c r="E13" s="6">
        <v>15415638</v>
      </c>
      <c r="F13" s="6">
        <v>13153769</v>
      </c>
      <c r="G13" s="6">
        <v>12101170</v>
      </c>
      <c r="H13" s="6">
        <v>13754073</v>
      </c>
      <c r="I13" s="6">
        <v>12705355</v>
      </c>
      <c r="J13" s="6">
        <v>13574734</v>
      </c>
      <c r="K13" s="6">
        <v>13533161</v>
      </c>
      <c r="L13" s="6">
        <v>13445153</v>
      </c>
      <c r="M13" s="6">
        <v>13760119</v>
      </c>
      <c r="N13" s="6">
        <v>14750670</v>
      </c>
      <c r="O13" s="14"/>
      <c r="P13" s="36">
        <f>SUM(C13:N13)</f>
        <v>162476668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5"/>
      <c r="AH13" s="10"/>
      <c r="AI13" s="11"/>
    </row>
    <row r="14" spans="1:35" s="12" customFormat="1" ht="14.1" customHeight="1" x14ac:dyDescent="0.25">
      <c r="A14" s="24"/>
      <c r="B14" s="25" t="s">
        <v>36</v>
      </c>
      <c r="C14" s="14">
        <v>5546393</v>
      </c>
      <c r="D14" s="14">
        <v>6489388</v>
      </c>
      <c r="E14" s="14">
        <v>8927780</v>
      </c>
      <c r="F14" s="14">
        <v>6177956</v>
      </c>
      <c r="G14" s="14">
        <v>5472554</v>
      </c>
      <c r="H14" s="14">
        <v>6262072</v>
      </c>
      <c r="I14" s="14">
        <v>5592704</v>
      </c>
      <c r="J14" s="14">
        <v>5963022</v>
      </c>
      <c r="K14" s="14">
        <v>6044595</v>
      </c>
      <c r="L14" s="14">
        <v>5913102</v>
      </c>
      <c r="M14" s="14">
        <v>6214159</v>
      </c>
      <c r="N14" s="14">
        <v>6647172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5"/>
      <c r="AH14" s="10"/>
      <c r="AI14" s="11"/>
    </row>
    <row r="15" spans="1:35" s="12" customFormat="1" ht="14.1" customHeight="1" x14ac:dyDescent="0.25">
      <c r="A15" s="24"/>
      <c r="B15" s="25" t="s">
        <v>37</v>
      </c>
      <c r="C15" s="14">
        <v>6971323</v>
      </c>
      <c r="D15" s="14">
        <v>7840498</v>
      </c>
      <c r="E15" s="14">
        <v>9749670</v>
      </c>
      <c r="F15" s="14">
        <v>7402594</v>
      </c>
      <c r="G15" s="14">
        <v>6988440</v>
      </c>
      <c r="H15" s="14">
        <v>7901319</v>
      </c>
      <c r="I15" s="14">
        <v>7013726</v>
      </c>
      <c r="J15" s="14">
        <v>7444924</v>
      </c>
      <c r="K15" s="14">
        <v>7417717</v>
      </c>
      <c r="L15" s="14">
        <v>7136768</v>
      </c>
      <c r="M15" s="14">
        <v>7478045</v>
      </c>
      <c r="N15" s="14">
        <v>7887241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5"/>
      <c r="AH15" s="10"/>
      <c r="AI15" s="11"/>
    </row>
    <row r="16" spans="1:35" s="12" customFormat="1" ht="16.5" customHeight="1" x14ac:dyDescent="0.25">
      <c r="A16" s="24"/>
      <c r="B16" s="25" t="s">
        <v>38</v>
      </c>
      <c r="C16" s="14">
        <v>1730250</v>
      </c>
      <c r="D16" s="14">
        <v>1959386</v>
      </c>
      <c r="E16" s="14">
        <v>2556957</v>
      </c>
      <c r="F16" s="14">
        <v>1805142</v>
      </c>
      <c r="G16" s="14">
        <v>1707571</v>
      </c>
      <c r="H16" s="14">
        <v>1899215</v>
      </c>
      <c r="I16" s="14">
        <v>1681104</v>
      </c>
      <c r="J16" s="14">
        <v>1803937</v>
      </c>
      <c r="K16" s="14">
        <v>1802107</v>
      </c>
      <c r="L16" s="14">
        <v>1755201</v>
      </c>
      <c r="M16" s="14">
        <v>1812897</v>
      </c>
      <c r="N16" s="14">
        <v>1887066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5"/>
      <c r="AH16" s="11"/>
      <c r="AI16" s="11"/>
    </row>
    <row r="17" spans="1:35" s="12" customFormat="1" ht="14.1" customHeight="1" x14ac:dyDescent="0.25">
      <c r="A17" s="24"/>
      <c r="B17" s="25" t="s">
        <v>39</v>
      </c>
      <c r="C17" s="14">
        <v>1386324</v>
      </c>
      <c r="D17" s="14">
        <v>1506567</v>
      </c>
      <c r="E17" s="14">
        <v>1814559</v>
      </c>
      <c r="F17" s="14">
        <v>1331826</v>
      </c>
      <c r="G17" s="14">
        <v>1244952</v>
      </c>
      <c r="H17" s="14">
        <v>1381816</v>
      </c>
      <c r="I17" s="14">
        <v>1134232</v>
      </c>
      <c r="J17" s="14">
        <v>1244715</v>
      </c>
      <c r="K17" s="14">
        <v>1275175</v>
      </c>
      <c r="L17" s="14">
        <v>1263545</v>
      </c>
      <c r="M17" s="14">
        <v>1254330</v>
      </c>
      <c r="N17" s="14">
        <v>1238653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5"/>
      <c r="AH17" s="10"/>
      <c r="AI17" s="11"/>
    </row>
    <row r="18" spans="1:35" s="12" customFormat="1" ht="16.5" customHeight="1" x14ac:dyDescent="0.25">
      <c r="A18" s="26"/>
      <c r="B18" s="25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5"/>
      <c r="AH18" s="10"/>
      <c r="AI18" s="11"/>
    </row>
    <row r="19" spans="1:35" s="12" customFormat="1" ht="15.75" customHeight="1" x14ac:dyDescent="0.25"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5"/>
      <c r="AH19" s="10"/>
      <c r="AI19" s="11"/>
    </row>
    <row r="20" spans="1:35" s="12" customFormat="1" ht="14.1" customHeight="1" x14ac:dyDescent="0.25">
      <c r="O20" s="14" t="s">
        <v>60</v>
      </c>
      <c r="P20" s="28">
        <f>P13/P5</f>
        <v>0.44218875654496936</v>
      </c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5"/>
      <c r="AH20" s="10"/>
      <c r="AI20" s="11"/>
    </row>
    <row r="21" spans="1:35" s="12" customFormat="1" ht="14.1" customHeight="1" x14ac:dyDescent="0.25"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5"/>
      <c r="AH21" s="10"/>
      <c r="AI21" s="11"/>
    </row>
    <row r="22" spans="1:35" x14ac:dyDescent="0.25">
      <c r="A22" t="s">
        <v>64</v>
      </c>
    </row>
    <row r="23" spans="1:35" ht="60" x14ac:dyDescent="0.25">
      <c r="B23" s="29" t="s">
        <v>56</v>
      </c>
      <c r="C23" s="29" t="s">
        <v>58</v>
      </c>
      <c r="D23" s="29" t="s">
        <v>57</v>
      </c>
      <c r="G23" s="29" t="s">
        <v>56</v>
      </c>
      <c r="H23" s="29" t="s">
        <v>59</v>
      </c>
      <c r="I23" s="29" t="s">
        <v>57</v>
      </c>
    </row>
    <row r="24" spans="1:35" x14ac:dyDescent="0.25">
      <c r="B24" s="38">
        <v>45292</v>
      </c>
      <c r="C24" s="31">
        <v>32410802</v>
      </c>
      <c r="D24" s="30">
        <v>0.98799999999999999</v>
      </c>
      <c r="G24" s="38">
        <v>45292</v>
      </c>
      <c r="H24" s="31">
        <v>14945984</v>
      </c>
      <c r="I24" s="30">
        <v>0.98799999999999999</v>
      </c>
    </row>
    <row r="25" spans="1:35" x14ac:dyDescent="0.25">
      <c r="B25" s="38">
        <v>45323</v>
      </c>
      <c r="C25" s="31">
        <v>30519550</v>
      </c>
      <c r="D25" s="30">
        <v>0.98799999999999999</v>
      </c>
      <c r="G25" s="38">
        <v>45323</v>
      </c>
      <c r="H25" s="31">
        <v>13947232</v>
      </c>
      <c r="I25" s="30">
        <v>0.98799999999999999</v>
      </c>
    </row>
    <row r="26" spans="1:35" x14ac:dyDescent="0.25">
      <c r="B26" s="38">
        <v>45352</v>
      </c>
      <c r="C26" s="31">
        <v>29513862</v>
      </c>
      <c r="D26" s="30">
        <v>0.98799999999999999</v>
      </c>
      <c r="G26" s="38">
        <v>45352</v>
      </c>
      <c r="H26" s="31">
        <v>13631911</v>
      </c>
      <c r="I26" s="30">
        <v>0.98799999999999999</v>
      </c>
    </row>
    <row r="27" spans="1:35" x14ac:dyDescent="0.25">
      <c r="B27" s="38">
        <v>45383</v>
      </c>
      <c r="C27" s="31">
        <v>30087500</v>
      </c>
      <c r="D27" s="30">
        <v>0.98799999999999999</v>
      </c>
      <c r="G27" s="38">
        <v>45383</v>
      </c>
      <c r="H27" s="31">
        <v>13717649</v>
      </c>
      <c r="I27" s="30">
        <v>0.98799999999999999</v>
      </c>
    </row>
    <row r="28" spans="1:35" x14ac:dyDescent="0.25">
      <c r="B28" s="38">
        <v>45413</v>
      </c>
      <c r="C28" s="31">
        <v>30058292</v>
      </c>
      <c r="D28" s="30">
        <v>0.98799999999999999</v>
      </c>
      <c r="G28" s="38">
        <v>45413</v>
      </c>
      <c r="H28" s="31">
        <v>13765536</v>
      </c>
      <c r="I28" s="30">
        <v>0.98799999999999999</v>
      </c>
    </row>
    <row r="29" spans="1:35" x14ac:dyDescent="0.25">
      <c r="B29" s="38">
        <v>45444</v>
      </c>
      <c r="C29" s="31">
        <v>28129353</v>
      </c>
      <c r="D29" s="30">
        <v>0.98799999999999999</v>
      </c>
      <c r="G29" s="38">
        <v>45444</v>
      </c>
      <c r="H29" s="31">
        <v>12875880</v>
      </c>
      <c r="I29" s="30">
        <v>0.98799999999999999</v>
      </c>
    </row>
    <row r="30" spans="1:35" x14ac:dyDescent="0.25">
      <c r="B30" s="38">
        <v>45474</v>
      </c>
      <c r="C30" s="31">
        <v>31198101</v>
      </c>
      <c r="D30" s="30">
        <v>0.98799999999999999</v>
      </c>
      <c r="G30" s="38">
        <v>45474</v>
      </c>
      <c r="H30" s="31">
        <v>13947817</v>
      </c>
      <c r="I30" s="30">
        <v>0.98799999999999999</v>
      </c>
    </row>
    <row r="31" spans="1:35" x14ac:dyDescent="0.25">
      <c r="B31" s="38">
        <v>45505</v>
      </c>
      <c r="C31" s="31">
        <v>27514377</v>
      </c>
      <c r="D31" s="30">
        <v>0.98799999999999999</v>
      </c>
      <c r="G31" s="38">
        <v>45505</v>
      </c>
      <c r="H31" s="31">
        <v>12274261</v>
      </c>
      <c r="I31" s="30">
        <v>0.98799999999999999</v>
      </c>
    </row>
    <row r="32" spans="1:35" x14ac:dyDescent="0.25">
      <c r="B32" s="38">
        <v>45536</v>
      </c>
      <c r="C32" s="31">
        <v>29870765</v>
      </c>
      <c r="D32" s="30">
        <v>0.98799999999999999</v>
      </c>
      <c r="G32" s="38">
        <v>45536</v>
      </c>
      <c r="H32" s="31">
        <v>13334486</v>
      </c>
      <c r="I32" s="30">
        <v>0.98799999999999999</v>
      </c>
    </row>
    <row r="33" spans="2:11" x14ac:dyDescent="0.25">
      <c r="B33" s="38">
        <v>45566</v>
      </c>
      <c r="C33" s="31">
        <v>38463222</v>
      </c>
      <c r="D33" s="30">
        <v>0.98799999999999999</v>
      </c>
      <c r="G33" s="38">
        <v>45566</v>
      </c>
      <c r="H33" s="31">
        <v>15665570</v>
      </c>
      <c r="I33" s="30">
        <v>0.98799999999999999</v>
      </c>
    </row>
    <row r="34" spans="2:11" x14ac:dyDescent="0.25">
      <c r="B34" s="38">
        <v>45597</v>
      </c>
      <c r="C34" s="31">
        <v>31444763</v>
      </c>
      <c r="D34" s="30">
        <v>0.98799999999999999</v>
      </c>
      <c r="G34" s="38">
        <v>45597</v>
      </c>
      <c r="H34" s="31">
        <v>13846102</v>
      </c>
      <c r="I34" s="30">
        <v>0.98799999999999999</v>
      </c>
    </row>
    <row r="35" spans="2:11" x14ac:dyDescent="0.25">
      <c r="B35" s="38">
        <v>45627</v>
      </c>
      <c r="C35" s="31">
        <v>28269567</v>
      </c>
      <c r="D35" s="30">
        <v>0.98799999999999999</v>
      </c>
      <c r="G35" s="38">
        <v>45627</v>
      </c>
      <c r="H35" s="31">
        <v>12811336</v>
      </c>
      <c r="I35" s="30">
        <v>0.98799999999999999</v>
      </c>
    </row>
    <row r="36" spans="2:11" x14ac:dyDescent="0.25">
      <c r="B36" s="1" t="s">
        <v>17</v>
      </c>
      <c r="C36" s="36">
        <f>SUM(C24:C35)</f>
        <v>367480154</v>
      </c>
      <c r="D36" t="s">
        <v>63</v>
      </c>
      <c r="H36" s="36">
        <f>SUM(H24:H35)</f>
        <v>164763764</v>
      </c>
      <c r="I36" t="s">
        <v>65</v>
      </c>
      <c r="K36" s="3">
        <f>H36/C36</f>
        <v>0.44836098550236264</v>
      </c>
    </row>
    <row r="39" spans="2:11" x14ac:dyDescent="0.25">
      <c r="B39" s="38"/>
      <c r="C39" s="31"/>
      <c r="D39" s="30"/>
      <c r="G39" s="38"/>
      <c r="H39" s="31"/>
      <c r="I39" s="30"/>
    </row>
    <row r="40" spans="2:11" x14ac:dyDescent="0.25">
      <c r="B40" s="38"/>
      <c r="C40" s="31"/>
      <c r="D40" s="30"/>
      <c r="G40" s="38"/>
      <c r="H40" s="31"/>
      <c r="I40" s="30"/>
    </row>
    <row r="41" spans="2:11" x14ac:dyDescent="0.25">
      <c r="B41" s="38"/>
      <c r="C41" s="31"/>
      <c r="D41" s="30"/>
      <c r="G41" s="38"/>
      <c r="H41" s="31"/>
      <c r="I41" s="30"/>
    </row>
    <row r="42" spans="2:11" x14ac:dyDescent="0.25">
      <c r="B42" s="38"/>
      <c r="C42" s="31"/>
      <c r="D42" s="30"/>
      <c r="G42" s="38"/>
      <c r="H42" s="31"/>
      <c r="I42" s="30"/>
    </row>
    <row r="43" spans="2:11" x14ac:dyDescent="0.25">
      <c r="B43" s="38"/>
      <c r="C43" s="31"/>
      <c r="D43" s="30"/>
      <c r="G43" s="38"/>
      <c r="H43" s="31"/>
      <c r="I43" s="30"/>
    </row>
    <row r="44" spans="2:11" x14ac:dyDescent="0.25">
      <c r="B44" s="38"/>
      <c r="C44" s="31"/>
      <c r="D44" s="30"/>
      <c r="G44" s="38"/>
      <c r="H44" s="31"/>
      <c r="I44" s="30"/>
    </row>
  </sheetData>
  <hyperlinks>
    <hyperlink ref="A2" r:id="rId1" xr:uid="{DE33CED3-A5BF-461E-81B3-1A4E99951B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pics</vt:lpstr>
      <vt:lpstr>output</vt:lpstr>
      <vt:lpstr>export online spreadsheet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Edwards</dc:creator>
  <cp:lastModifiedBy>Peter Edwards</cp:lastModifiedBy>
  <dcterms:created xsi:type="dcterms:W3CDTF">2025-04-11T09:07:47Z</dcterms:created>
  <dcterms:modified xsi:type="dcterms:W3CDTF">2025-09-26T15:53:37Z</dcterms:modified>
</cp:coreProperties>
</file>